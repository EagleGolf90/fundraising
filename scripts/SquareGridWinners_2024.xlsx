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fundraising\scripts\"/>
    </mc:Choice>
  </mc:AlternateContent>
  <xr:revisionPtr revIDLastSave="0" documentId="13_ncr:1_{D60DB17F-ABE8-4145-A3A7-A7A0A5B6F7F4}" xr6:coauthVersionLast="47" xr6:coauthVersionMax="47" xr10:uidLastSave="{00000000-0000-0000-0000-000000000000}"/>
  <bookViews>
    <workbookView xWindow="-108" yWindow="-108" windowWidth="23256" windowHeight="12456" activeTab="3" xr2:uid="{088BB7A9-5091-48E0-BF05-ED8B2D8B8665}"/>
  </bookViews>
  <sheets>
    <sheet name="PCDWBA_6_1" sheetId="2" r:id="rId1"/>
    <sheet name="PCDWBA_7_2" sheetId="7" r:id="rId2"/>
    <sheet name="SCCDGC_6_1" sheetId="5" r:id="rId3"/>
    <sheet name="USADVB_6_2" sheetId="6" r:id="rId4"/>
    <sheet name="Colleges" sheetId="3" r:id="rId5"/>
  </sheets>
  <definedNames>
    <definedName name="ExternalData_1" localSheetId="0" hidden="1">PCDWBA_6_1!$A$1:$M$63</definedName>
    <definedName name="ExternalData_1" localSheetId="1" hidden="1">PCDWBA_7_2!$A$1:$M$57</definedName>
    <definedName name="ExternalData_1" localSheetId="2" hidden="1">SCCDGC_6_1!$A$1:$M$61</definedName>
    <definedName name="ExternalData_1" localSheetId="3" hidden="1">USADVB_6_2!$A$1:$M$57</definedName>
    <definedName name="ExternalData_3" localSheetId="4" hidden="1">Colleges!$A$1:$B$364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4" i="6" l="1"/>
  <c r="I64" i="6"/>
  <c r="O64" i="6" s="1"/>
  <c r="J64" i="5"/>
  <c r="I64" i="5"/>
  <c r="I64" i="2"/>
  <c r="J63" i="6"/>
  <c r="O63" i="6" s="1"/>
  <c r="I63" i="6"/>
  <c r="J62" i="6"/>
  <c r="I62" i="6"/>
  <c r="J63" i="5"/>
  <c r="I63" i="5"/>
  <c r="J62" i="5"/>
  <c r="I62" i="5"/>
  <c r="O64" i="5"/>
  <c r="J64" i="2"/>
  <c r="J64" i="7"/>
  <c r="I64" i="7"/>
  <c r="J63" i="7"/>
  <c r="I63" i="7"/>
  <c r="J62" i="7"/>
  <c r="I62" i="7"/>
  <c r="J63" i="2"/>
  <c r="I63" i="2"/>
  <c r="O63" i="2" s="1"/>
  <c r="J62" i="2"/>
  <c r="I62" i="2"/>
  <c r="J61" i="6"/>
  <c r="I61" i="6"/>
  <c r="O61" i="6" s="1"/>
  <c r="J61" i="5"/>
  <c r="I61" i="5"/>
  <c r="O61" i="5" s="1"/>
  <c r="J61" i="7"/>
  <c r="I61" i="7"/>
  <c r="J60" i="7"/>
  <c r="I60" i="7"/>
  <c r="J59" i="7"/>
  <c r="I59" i="7"/>
  <c r="J58" i="7"/>
  <c r="I58" i="7"/>
  <c r="J60" i="6"/>
  <c r="I60" i="6"/>
  <c r="O60" i="6" s="1"/>
  <c r="O59" i="5"/>
  <c r="O58" i="5"/>
  <c r="J59" i="6"/>
  <c r="O59" i="6" s="1"/>
  <c r="I59" i="6"/>
  <c r="J58" i="6"/>
  <c r="I58" i="6"/>
  <c r="O58" i="6" s="1"/>
  <c r="J60" i="5"/>
  <c r="I60" i="5"/>
  <c r="O60" i="5" s="1"/>
  <c r="J59" i="5"/>
  <c r="I59" i="5"/>
  <c r="J58" i="5"/>
  <c r="I58" i="5"/>
  <c r="O59" i="2"/>
  <c r="O58" i="2"/>
  <c r="J57" i="6"/>
  <c r="I57" i="6"/>
  <c r="J56" i="6"/>
  <c r="I56" i="6"/>
  <c r="J61" i="2"/>
  <c r="I61" i="2"/>
  <c r="J60" i="2"/>
  <c r="I60" i="2"/>
  <c r="J59" i="2"/>
  <c r="I59" i="2"/>
  <c r="J58" i="2"/>
  <c r="I58" i="2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O3" i="7"/>
  <c r="O2" i="7"/>
  <c r="I12" i="7"/>
  <c r="J57" i="7"/>
  <c r="I57" i="7"/>
  <c r="J56" i="7"/>
  <c r="I56" i="7"/>
  <c r="J55" i="7"/>
  <c r="I55" i="7"/>
  <c r="O55" i="7" s="1"/>
  <c r="J54" i="7"/>
  <c r="I54" i="7"/>
  <c r="J53" i="7"/>
  <c r="I53" i="7"/>
  <c r="O53" i="7" s="1"/>
  <c r="J52" i="7"/>
  <c r="I52" i="7"/>
  <c r="J51" i="7"/>
  <c r="I51" i="7"/>
  <c r="O51" i="7" s="1"/>
  <c r="J50" i="7"/>
  <c r="I50" i="7"/>
  <c r="J49" i="7"/>
  <c r="I49" i="7"/>
  <c r="J48" i="7"/>
  <c r="I48" i="7"/>
  <c r="J47" i="7"/>
  <c r="I47" i="7"/>
  <c r="J46" i="7"/>
  <c r="I46" i="7"/>
  <c r="J45" i="7"/>
  <c r="I45" i="7"/>
  <c r="J44" i="7"/>
  <c r="I44" i="7"/>
  <c r="J43" i="7"/>
  <c r="I43" i="7"/>
  <c r="J42" i="7"/>
  <c r="I42" i="7"/>
  <c r="J41" i="7"/>
  <c r="I41" i="7"/>
  <c r="J40" i="7"/>
  <c r="I40" i="7"/>
  <c r="J39" i="7"/>
  <c r="I39" i="7"/>
  <c r="J38" i="7"/>
  <c r="I38" i="7"/>
  <c r="J37" i="7"/>
  <c r="I37" i="7"/>
  <c r="J36" i="7"/>
  <c r="I36" i="7"/>
  <c r="J35" i="7"/>
  <c r="I35" i="7"/>
  <c r="J34" i="7"/>
  <c r="I34" i="7"/>
  <c r="J33" i="7"/>
  <c r="I33" i="7"/>
  <c r="J32" i="7"/>
  <c r="I32" i="7"/>
  <c r="J31" i="7"/>
  <c r="I31" i="7"/>
  <c r="J30" i="7"/>
  <c r="I30" i="7"/>
  <c r="J29" i="7"/>
  <c r="I29" i="7"/>
  <c r="J28" i="7"/>
  <c r="I28" i="7"/>
  <c r="J27" i="7"/>
  <c r="I27" i="7"/>
  <c r="J26" i="7"/>
  <c r="I26" i="7"/>
  <c r="J25" i="7"/>
  <c r="I25" i="7"/>
  <c r="J24" i="7"/>
  <c r="I24" i="7"/>
  <c r="J23" i="7"/>
  <c r="I23" i="7"/>
  <c r="J22" i="7"/>
  <c r="I22" i="7"/>
  <c r="J21" i="7"/>
  <c r="I21" i="7"/>
  <c r="J20" i="7"/>
  <c r="I20" i="7"/>
  <c r="J19" i="7"/>
  <c r="I19" i="7"/>
  <c r="J18" i="7"/>
  <c r="I18" i="7"/>
  <c r="J17" i="7"/>
  <c r="I17" i="7"/>
  <c r="J16" i="7"/>
  <c r="I16" i="7"/>
  <c r="J15" i="7"/>
  <c r="I15" i="7"/>
  <c r="J14" i="7"/>
  <c r="I14" i="7"/>
  <c r="J13" i="7"/>
  <c r="I13" i="7"/>
  <c r="J12" i="7"/>
  <c r="J11" i="7"/>
  <c r="I11" i="7"/>
  <c r="J10" i="7"/>
  <c r="I10" i="7"/>
  <c r="J9" i="7"/>
  <c r="I9" i="7"/>
  <c r="J8" i="7"/>
  <c r="I8" i="7"/>
  <c r="J7" i="7"/>
  <c r="I7" i="7"/>
  <c r="J6" i="7"/>
  <c r="I6" i="7"/>
  <c r="J5" i="7"/>
  <c r="I5" i="7"/>
  <c r="J4" i="7"/>
  <c r="I4" i="7"/>
  <c r="J3" i="7"/>
  <c r="I3" i="7"/>
  <c r="J2" i="7"/>
  <c r="I2" i="7"/>
  <c r="O53" i="6"/>
  <c r="O52" i="6"/>
  <c r="O51" i="6"/>
  <c r="O50" i="6"/>
  <c r="O57" i="6"/>
  <c r="J55" i="6"/>
  <c r="O55" i="6" s="1"/>
  <c r="I55" i="6"/>
  <c r="J54" i="6"/>
  <c r="O54" i="6" s="1"/>
  <c r="I54" i="6"/>
  <c r="J53" i="6"/>
  <c r="I53" i="6"/>
  <c r="J52" i="6"/>
  <c r="I52" i="6"/>
  <c r="J51" i="6"/>
  <c r="I51" i="6"/>
  <c r="J50" i="6"/>
  <c r="I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O2" i="6"/>
  <c r="J57" i="5"/>
  <c r="I57" i="5"/>
  <c r="O57" i="5" s="1"/>
  <c r="J56" i="5"/>
  <c r="I56" i="5"/>
  <c r="J55" i="5"/>
  <c r="O55" i="5" s="1"/>
  <c r="I55" i="5"/>
  <c r="J54" i="5"/>
  <c r="I54" i="5"/>
  <c r="O54" i="5" s="1"/>
  <c r="O53" i="5"/>
  <c r="J53" i="5"/>
  <c r="I53" i="5"/>
  <c r="O52" i="5"/>
  <c r="J52" i="5"/>
  <c r="I52" i="5"/>
  <c r="O51" i="5"/>
  <c r="J51" i="5"/>
  <c r="I51" i="5"/>
  <c r="O50" i="5"/>
  <c r="J50" i="5"/>
  <c r="I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J57" i="2"/>
  <c r="I57" i="2"/>
  <c r="J56" i="2"/>
  <c r="I56" i="2"/>
  <c r="O56" i="2" s="1"/>
  <c r="J55" i="2"/>
  <c r="I55" i="2"/>
  <c r="J54" i="2"/>
  <c r="I54" i="2"/>
  <c r="J53" i="2"/>
  <c r="I53" i="2"/>
  <c r="J52" i="2"/>
  <c r="I52" i="2"/>
  <c r="J51" i="2"/>
  <c r="I51" i="2"/>
  <c r="J50" i="2"/>
  <c r="I50" i="2"/>
  <c r="O64" i="2" l="1"/>
  <c r="O64" i="7"/>
  <c r="O63" i="7"/>
  <c r="O62" i="2"/>
  <c r="O61" i="7"/>
  <c r="O60" i="7"/>
  <c r="O62" i="7"/>
  <c r="O62" i="6"/>
  <c r="O62" i="5"/>
  <c r="O63" i="5"/>
  <c r="O61" i="2"/>
  <c r="O59" i="7"/>
  <c r="O58" i="7"/>
  <c r="O57" i="7"/>
  <c r="O56" i="7"/>
  <c r="O52" i="7"/>
  <c r="O50" i="7"/>
  <c r="O60" i="2"/>
  <c r="O57" i="2"/>
  <c r="O56" i="6"/>
  <c r="O56" i="5"/>
  <c r="O54" i="7"/>
  <c r="O55" i="2"/>
  <c r="O5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A0B992-2D25-4EC2-B04C-AB74A58A13E3}" keepAlive="1" name="Query - Colleges (4)" description="Connection to the 'Colleges (4)' query in the workbook." type="5" refreshedVersion="8" background="1" saveData="1">
    <dbPr connection="Provider=Microsoft.Mashup.OleDb.1;Data Source=$Workbook$;Location=&quot;Colleges (4)&quot;;Extended Properties=&quot;&quot;" command="SELECT * FROM [Colleges (4)]"/>
  </connection>
  <connection id="2" xr16:uid="{244BC09F-D06D-4438-83A0-33972DF5C643}" keepAlive="1" name="Query - squaregridwinners_20240224" description="Connection to the 'squaregridwinners_20240224' query in the workbook." type="5" refreshedVersion="8" background="1" saveData="1">
    <dbPr connection="Provider=Microsoft.Mashup.OleDb.1;Data Source=$Workbook$;Location=squaregridwinners_20240224;Extended Properties=&quot;&quot;" command="SELECT * FROM [squaregridwinners_20240224]"/>
  </connection>
  <connection id="3" xr16:uid="{9F9857B4-631B-480C-A2DB-4193594E0E09}" keepAlive="1" name="Query - squaregridwinners_20240224 (2)" description="Connection to the 'squaregridwinners_20240224 (2)' query in the workbook." type="5" refreshedVersion="8" background="1" saveData="1">
    <dbPr connection="Provider=Microsoft.Mashup.OleDb.1;Data Source=$Workbook$;Location=&quot;squaregridwinners_20240224 (2)&quot;;Extended Properties=&quot;&quot;" command="SELECT * FROM [squaregridwinners_20240224 (2)]"/>
  </connection>
  <connection id="4" xr16:uid="{5FE40F34-23C4-415C-8CD4-5944FABDA21F}" keepAlive="1" name="Query - squaregridwinners_20240224 (3)" description="Connection to the 'squaregridwinners_20240224 (3)' query in the workbook." type="5" refreshedVersion="8" background="1" saveData="1">
    <dbPr connection="Provider=Microsoft.Mashup.OleDb.1;Data Source=$Workbook$;Location=&quot;squaregridwinners_20240224 (3)&quot;;Extended Properties=&quot;&quot;" command="SELECT * FROM [squaregridwinners_20240224 (3)]"/>
  </connection>
  <connection id="5" xr16:uid="{945357DF-D0DF-4EB7-B92F-06E6DE4937D3}" keepAlive="1" name="Query - squaregridwinners_20240224 (4)" description="Connection to the 'squaregridwinners_20240224 (4)' query in the workbook." type="5" refreshedVersion="8" background="1" saveData="1">
    <dbPr connection="Provider=Microsoft.Mashup.OleDb.1;Data Source=$Workbook$;Location=&quot;squaregridwinners_20240224 (4)&quot;;Extended Properties=&quot;&quot;" command="SELECT * FROM [squaregridwinners_20240224 (4)]"/>
  </connection>
  <connection id="6" xr16:uid="{957269C0-01EC-49C8-859B-6C5ABB271497}" keepAlive="1" name="Query - squaregridwinners_20240224 (5)" description="Connection to the 'squaregridwinners_20240224 (5)' query in the workbook." type="5" refreshedVersion="8" background="1" saveData="1">
    <dbPr connection="Provider=Microsoft.Mashup.OleDb.1;Data Source=$Workbook$;Location=&quot;squaregridwinners_20240224 (5)&quot;;Extended Properties=&quot;&quot;" command="SELECT * FROM [squaregridwinners_20240224 (5)]"/>
  </connection>
  <connection id="7" xr16:uid="{05E866B6-C6A0-4513-97B9-3BCA417ED44A}" keepAlive="1" name="Query - wbb_squares_20240224" description="Connection to the 'wbb_squares_20240224' query in the workbook." type="5" refreshedVersion="0" background="1">
    <dbPr connection="Provider=Microsoft.Mashup.OleDb.1;Data Source=$Workbook$;Location=wbb_squares_20240224;Extended Properties=&quot;&quot;" command="SELECT * FROM [wbb_squares_20240224]"/>
  </connection>
</connections>
</file>

<file path=xl/sharedStrings.xml><?xml version="1.0" encoding="utf-8"?>
<sst xmlns="http://schemas.openxmlformats.org/spreadsheetml/2006/main" count="921" uniqueCount="382">
  <si>
    <t>BusinessUnit</t>
  </si>
  <si>
    <t>YearPick</t>
  </si>
  <si>
    <t>EventType</t>
  </si>
  <si>
    <t>PoolNbr</t>
  </si>
  <si>
    <t>Quarter</t>
  </si>
  <si>
    <t>SeqNo</t>
  </si>
  <si>
    <t>TopLast</t>
  </si>
  <si>
    <t>LeftLast</t>
  </si>
  <si>
    <t>TopScore</t>
  </si>
  <si>
    <t>LeftScore</t>
  </si>
  <si>
    <t>Status</t>
  </si>
  <si>
    <t>PCDWBA</t>
  </si>
  <si>
    <t>Y</t>
  </si>
  <si>
    <t>WinningTeam</t>
  </si>
  <si>
    <t>LosingTeam</t>
  </si>
  <si>
    <t>Team</t>
  </si>
  <si>
    <t>Description</t>
  </si>
  <si>
    <t>Air Force</t>
  </si>
  <si>
    <t>Akron</t>
  </si>
  <si>
    <t>Alabama</t>
  </si>
  <si>
    <t>Alabama A&amp;M</t>
  </si>
  <si>
    <t>Alabama State</t>
  </si>
  <si>
    <t>Albany</t>
  </si>
  <si>
    <t>Alcorn State</t>
  </si>
  <si>
    <t>American</t>
  </si>
  <si>
    <t>Appalachian State</t>
  </si>
  <si>
    <t>Arizona</t>
  </si>
  <si>
    <t>Arizona State</t>
  </si>
  <si>
    <t>Arkansas</t>
  </si>
  <si>
    <t>Arkansas-Pine Bluff</t>
  </si>
  <si>
    <t>Arkansas State</t>
  </si>
  <si>
    <t>Army</t>
  </si>
  <si>
    <t>Auburn</t>
  </si>
  <si>
    <t>Austin Peay</t>
  </si>
  <si>
    <t>Ball State</t>
  </si>
  <si>
    <t>Baylor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</si>
  <si>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</si>
  <si>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</si>
  <si>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</si>
  <si>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</si>
  <si>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</si>
  <si>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</si>
  <si>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</si>
  <si>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</si>
  <si>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Brown</t>
  </si>
  <si>
    <t>Bucknell</t>
  </si>
  <si>
    <t>Buffalo</t>
  </si>
  <si>
    <t>Butler</t>
  </si>
  <si>
    <t>BYU</t>
  </si>
  <si>
    <t>California</t>
  </si>
  <si>
    <t>Cal Poly</t>
  </si>
  <si>
    <t>Cal State Bakersfield</t>
  </si>
  <si>
    <t>Cal State Fullerton</t>
  </si>
  <si>
    <t>Cal State Northridge</t>
  </si>
  <si>
    <t>Campbell</t>
  </si>
  <si>
    <t>Canisius</t>
  </si>
  <si>
    <t>Centenary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</si>
  <si>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</si>
  <si>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</si>
  <si>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</si>
  <si>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</si>
  <si>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</si>
  <si>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</si>
  <si>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</si>
  <si>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</si>
  <si>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Citadel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</si>
  <si>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</si>
  <si>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</si>
  <si>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</si>
  <si>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</si>
  <si>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</si>
  <si>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</si>
  <si>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</si>
  <si>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</si>
  <si>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</si>
  <si>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</si>
  <si>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</si>
  <si>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</si>
  <si>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</si>
  <si>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Davidson</t>
  </si>
  <si>
    <t>Dayton</t>
  </si>
  <si>
    <t>Delaware</t>
  </si>
  <si>
    <t>Delaware State</t>
  </si>
  <si>
    <t>Denver</t>
  </si>
  <si>
    <t>DePaul</t>
  </si>
  <si>
    <t>Detroit</t>
  </si>
  <si>
    <t>Drake</t>
  </si>
  <si>
    <t>Drexel</t>
  </si>
  <si>
    <t>Duke</t>
  </si>
  <si>
    <t>Duquesne</t>
  </si>
  <si>
    <t>East Carolina</t>
  </si>
  <si>
    <t>East Tennessee State</t>
  </si>
  <si>
    <t>Eastern Illinois</t>
  </si>
  <si>
    <t>Eastern Kentucky</t>
  </si>
  <si>
    <t>Eastern Michigan</t>
  </si>
  <si>
    <t>Eastern Washington</t>
  </si>
  <si>
    <t>Elon</t>
  </si>
  <si>
    <t>Evansville</t>
  </si>
  <si>
    <t>Fairfield</t>
  </si>
  <si>
    <t>Fairleigh Dickinson</t>
  </si>
  <si>
    <t>Florida</t>
  </si>
  <si>
    <t>Florida A&amp;M</t>
  </si>
  <si>
    <t>Florida Atlantic</t>
  </si>
  <si>
    <t>Florida Gulf Coast</t>
  </si>
  <si>
    <t>Florida International</t>
  </si>
  <si>
    <t>Florida State</t>
  </si>
  <si>
    <t>Fordham</t>
  </si>
  <si>
    <t>Fresno State</t>
  </si>
  <si>
    <t>Furman</t>
  </si>
  <si>
    <t>Gardner-Webb</t>
  </si>
  <si>
    <t>George Mason</t>
  </si>
  <si>
    <t>George Washington</t>
  </si>
  <si>
    <t>Georgetown</t>
  </si>
  <si>
    <t>Georgia</t>
  </si>
  <si>
    <t>Georgia Southern</t>
  </si>
  <si>
    <t>Georgia State</t>
  </si>
  <si>
    <t>Georgia Tech</t>
  </si>
  <si>
    <t>Gonzaga</t>
  </si>
  <si>
    <t>Grambling State</t>
  </si>
  <si>
    <t>Green Bay</t>
  </si>
  <si>
    <t>Hampton</t>
  </si>
  <si>
    <t>Hartford</t>
  </si>
  <si>
    <t>Harvard</t>
  </si>
  <si>
    <t>Hawaii</t>
  </si>
  <si>
    <t>High Point</t>
  </si>
  <si>
    <t>Hofstra</t>
  </si>
  <si>
    <t>Holy Cross</t>
  </si>
  <si>
    <t>Houston</t>
  </si>
  <si>
    <t>Howard</t>
  </si>
  <si>
    <t>Idaho</t>
  </si>
  <si>
    <t>Idaho State</t>
  </si>
  <si>
    <t>Illinois</t>
  </si>
  <si>
    <t>Illinois State</t>
  </si>
  <si>
    <t>Indiana</t>
  </si>
  <si>
    <t>Indiana State</t>
  </si>
  <si>
    <t>Iona</t>
  </si>
  <si>
    <t>Iowa</t>
  </si>
  <si>
    <t>Iowa State</t>
  </si>
  <si>
    <t>IPFW</t>
  </si>
  <si>
    <t>IUPUI</t>
  </si>
  <si>
    <t>Jackson State</t>
  </si>
  <si>
    <t>Jacksonville</t>
  </si>
  <si>
    <t>Jacksonville State</t>
  </si>
  <si>
    <t>James Madison</t>
  </si>
  <si>
    <t>Kansas</t>
  </si>
  <si>
    <t>Kansas State</t>
  </si>
  <si>
    <t>Kennesaw State</t>
  </si>
  <si>
    <t>Kent State</t>
  </si>
  <si>
    <t>Kentucky</t>
  </si>
  <si>
    <t>La Salle</t>
  </si>
  <si>
    <t>Lafayette</t>
  </si>
  <si>
    <t>Lamar</t>
  </si>
  <si>
    <t>Lehigh</t>
  </si>
  <si>
    <t>Liberty</t>
  </si>
  <si>
    <t>Lipscomb</t>
  </si>
  <si>
    <t>LIU</t>
  </si>
  <si>
    <t>Long Beach State</t>
  </si>
  <si>
    <t>Longwood</t>
  </si>
  <si>
    <t>Louisiana Tech</t>
  </si>
  <si>
    <t>Louisiana-Lafayette</t>
  </si>
  <si>
    <t>Louisville</t>
  </si>
  <si>
    <t>Loyola (Ill.)</t>
  </si>
  <si>
    <t>Loyola (Md.)</t>
  </si>
  <si>
    <t>Loyola Marymount</t>
  </si>
  <si>
    <t>LSU</t>
  </si>
  <si>
    <t>Maine</t>
  </si>
  <si>
    <t>Manhattan</t>
  </si>
  <si>
    <t>Marist</t>
  </si>
  <si>
    <t>Marquette</t>
  </si>
  <si>
    <t>Marshall</t>
  </si>
  <si>
    <t>Maryland</t>
  </si>
  <si>
    <t>McNeese State</t>
  </si>
  <si>
    <t>Memphis</t>
  </si>
  <si>
    <t>Mercer</t>
  </si>
  <si>
    <t>Miami (Fla.)</t>
  </si>
  <si>
    <t>Miami (Ohio)</t>
  </si>
  <si>
    <t>Michigan</t>
  </si>
  <si>
    <t>Michigan State</t>
  </si>
  <si>
    <t>Middle Tennessee State</t>
  </si>
  <si>
    <t>Milwaukee</t>
  </si>
  <si>
    <t>Minnesota</t>
  </si>
  <si>
    <t>Mississipppi</t>
  </si>
  <si>
    <t>Mississippi State</t>
  </si>
  <si>
    <t>Mississippi Valley State</t>
  </si>
  <si>
    <t>Missouri</t>
  </si>
  <si>
    <t>Missouri State</t>
  </si>
  <si>
    <t>Monmouth (N.J.)</t>
  </si>
  <si>
    <t>Montana</t>
  </si>
  <si>
    <t>Montana State</t>
  </si>
  <si>
    <t>Morehead State</t>
  </si>
  <si>
    <t>Morgan State</t>
  </si>
  <si>
    <t>Mount St. Mary's</t>
  </si>
  <si>
    <t>Murray State</t>
  </si>
  <si>
    <t>Navy</t>
  </si>
  <si>
    <t>Nebraska</t>
  </si>
  <si>
    <t>Nevada</t>
  </si>
  <si>
    <t>New Hampshire</t>
  </si>
  <si>
    <t>New Mexico</t>
  </si>
  <si>
    <t>New Mexico State</t>
  </si>
  <si>
    <t>New Orleans</t>
  </si>
  <si>
    <t>Niagara</t>
  </si>
  <si>
    <t>Nicholls State</t>
  </si>
  <si>
    <t>NJIT</t>
  </si>
  <si>
    <t>Norfolk State</t>
  </si>
  <si>
    <t>North Carolina</t>
  </si>
  <si>
    <t>North Carolina A&amp;T</t>
  </si>
  <si>
    <t>North Carolina Central</t>
  </si>
  <si>
    <t>North Carolina State</t>
  </si>
  <si>
    <t>North Dakota State</t>
  </si>
  <si>
    <t>North Florida</t>
  </si>
  <si>
    <t>North Texas</t>
  </si>
  <si>
    <t>Northeastern</t>
  </si>
  <si>
    <t>Northern Arizona</t>
  </si>
  <si>
    <t>Northern Colorado</t>
  </si>
  <si>
    <t>Northern Illinois</t>
  </si>
  <si>
    <t>Northwestern</t>
  </si>
  <si>
    <t>Northwestern State</t>
  </si>
  <si>
    <t>Notre Dame</t>
  </si>
  <si>
    <t>Oakland</t>
  </si>
  <si>
    <t>Ohio State</t>
  </si>
  <si>
    <t>Ohio University</t>
  </si>
  <si>
    <t>Oklahoma</t>
  </si>
  <si>
    <t>Oklahoma State</t>
  </si>
  <si>
    <t>Old Dominion</t>
  </si>
  <si>
    <t>Oral Roberts</t>
  </si>
  <si>
    <t>Oregon</t>
  </si>
  <si>
    <t>Oregon State</t>
  </si>
  <si>
    <t>Pacific</t>
  </si>
  <si>
    <t>Penn</t>
  </si>
  <si>
    <t>Penn State</t>
  </si>
  <si>
    <t>Pepperdine</t>
  </si>
  <si>
    <t>Pittsburgh</t>
  </si>
  <si>
    <t>Portland</t>
  </si>
  <si>
    <t>Portland State</t>
  </si>
  <si>
    <t>Prairie View A&amp;M</t>
  </si>
  <si>
    <t>Presbyterian</t>
  </si>
  <si>
    <t>Princeton</t>
  </si>
  <si>
    <t>Providence</t>
  </si>
  <si>
    <t>Purdue</t>
  </si>
  <si>
    <t>Quinnipiac</t>
  </si>
  <si>
    <t>Radford</t>
  </si>
  <si>
    <t>Rhode Island</t>
  </si>
  <si>
    <t>Rice</t>
  </si>
  <si>
    <t>Richmond</t>
  </si>
  <si>
    <t>Rider</t>
  </si>
  <si>
    <t>Robert Morris</t>
  </si>
  <si>
    <t>Rutgers</t>
  </si>
  <si>
    <t>Sacramento State</t>
  </si>
  <si>
    <t>Sacred Heart</t>
  </si>
  <si>
    <t>Saint Francis (Pa.)</t>
  </si>
  <si>
    <t>Saint Joseph's</t>
  </si>
  <si>
    <t>Saint Louis</t>
  </si>
  <si>
    <t>Saint Mary's</t>
  </si>
  <si>
    <t>Saint Peter's</t>
  </si>
  <si>
    <t>Sam Houston State</t>
  </si>
  <si>
    <t>Samford</t>
  </si>
  <si>
    <t>San Diego</t>
  </si>
  <si>
    <t>San Diego State</t>
  </si>
  <si>
    <t>San Francisco</t>
  </si>
  <si>
    <t>San Jose State</t>
  </si>
  <si>
    <t>Santa Clara</t>
  </si>
  <si>
    <t>Savannah State</t>
  </si>
  <si>
    <t>Seton Hall</t>
  </si>
  <si>
    <t>Siena</t>
  </si>
  <si>
    <t>SMU</t>
  </si>
  <si>
    <t>South Alabama</t>
  </si>
  <si>
    <t>South Carolina</t>
  </si>
  <si>
    <t>South Carolina State</t>
  </si>
  <si>
    <t>South Dakota State</t>
  </si>
  <si>
    <t>Southeast Missouri State</t>
  </si>
  <si>
    <t>Southeastern Louisiana</t>
  </si>
  <si>
    <t>Southern</t>
  </si>
  <si>
    <t>Southern Illinois</t>
  </si>
  <si>
    <t>Southern Miss</t>
  </si>
  <si>
    <t>Southern Utah</t>
  </si>
  <si>
    <t>St. Bonaventure</t>
  </si>
  <si>
    <t>St. Francis (N.Y.)</t>
  </si>
  <si>
    <t>St. John's</t>
  </si>
  <si>
    <t>Stanford</t>
  </si>
  <si>
    <t>Stephen F. Austin</t>
  </si>
  <si>
    <t>Stetson</t>
  </si>
  <si>
    <t>Stony Brook</t>
  </si>
  <si>
    <t>Syracuse</t>
  </si>
  <si>
    <t>TCU</t>
  </si>
  <si>
    <t>Temple</t>
  </si>
  <si>
    <t>Tennessee</t>
  </si>
  <si>
    <t>Tennessee-Martin</t>
  </si>
  <si>
    <t>Tennessee State</t>
  </si>
  <si>
    <t>Tennessee Tech</t>
  </si>
  <si>
    <t>Texas</t>
  </si>
  <si>
    <t>Texas A&amp;M</t>
  </si>
  <si>
    <t>Texas A&amp;M-Corpus Christi</t>
  </si>
  <si>
    <t>Texas Southern</t>
  </si>
  <si>
    <t>Texas State</t>
  </si>
  <si>
    <t>Texas Tech</t>
  </si>
  <si>
    <t>Toledo</t>
  </si>
  <si>
    <t>Towson</t>
  </si>
  <si>
    <t>Troy</t>
  </si>
  <si>
    <t>Tulane</t>
  </si>
  <si>
    <t>Tulsa</t>
  </si>
  <si>
    <t>UAB</t>
  </si>
  <si>
    <t>UALR</t>
  </si>
  <si>
    <t>UC Davis</t>
  </si>
  <si>
    <t>UC Irvine</t>
  </si>
  <si>
    <t>UC Riverside</t>
  </si>
  <si>
    <t>UCF</t>
  </si>
  <si>
    <t>UCLA</t>
  </si>
  <si>
    <t>UCSB</t>
  </si>
  <si>
    <t>UIC</t>
  </si>
  <si>
    <t>ULM</t>
  </si>
  <si>
    <t>UMass</t>
  </si>
  <si>
    <t>UMBC</t>
  </si>
  <si>
    <t>UMES</t>
  </si>
  <si>
    <t>UMKC</t>
  </si>
  <si>
    <t>UNC-Asheville</t>
  </si>
  <si>
    <t>UNC-Greensboro</t>
  </si>
  <si>
    <t>UNC-Wilmington</t>
  </si>
  <si>
    <t>UNI</t>
  </si>
  <si>
    <t>UNLV</t>
  </si>
  <si>
    <t>USC</t>
  </si>
  <si>
    <t>USC Upstate</t>
  </si>
  <si>
    <t>USF</t>
  </si>
  <si>
    <t>Texas-Arlington</t>
  </si>
  <si>
    <t>Texas-Pan American</t>
  </si>
  <si>
    <t>UTEP</t>
  </si>
  <si>
    <t>UTSA</t>
  </si>
  <si>
    <t>Utah</t>
  </si>
  <si>
    <t>Utah Valley</t>
  </si>
  <si>
    <t>Utah State</t>
  </si>
  <si>
    <t>Valparaiso</t>
  </si>
  <si>
    <t>Vanderbilt</t>
  </si>
  <si>
    <t>VCU</t>
  </si>
  <si>
    <t>Vermont</t>
  </si>
  <si>
    <t>Villanova</t>
  </si>
  <si>
    <t>Virginia</t>
  </si>
  <si>
    <t>Virginia Tech</t>
  </si>
  <si>
    <t>VMI</t>
  </si>
  <si>
    <t>Wagner</t>
  </si>
  <si>
    <t>Wake Forest</t>
  </si>
  <si>
    <t>Washington</t>
  </si>
  <si>
    <t>Washington State</t>
  </si>
  <si>
    <t>Weber State</t>
  </si>
  <si>
    <t>West Virginia</t>
  </si>
  <si>
    <t>Western Carolina</t>
  </si>
  <si>
    <t>Western Illinois</t>
  </si>
  <si>
    <t>Western Kentucky</t>
  </si>
  <si>
    <t>Western Michigan</t>
  </si>
  <si>
    <t>Wichita State</t>
  </si>
  <si>
    <t>William &amp; Mary</t>
  </si>
  <si>
    <t>Winston-Salem</t>
  </si>
  <si>
    <t>Winthrop</t>
  </si>
  <si>
    <t>Wisconsin</t>
  </si>
  <si>
    <t>Wofford</t>
  </si>
  <si>
    <t>Wright State</t>
  </si>
  <si>
    <t>Wyoming</t>
  </si>
  <si>
    <t>Xavier</t>
  </si>
  <si>
    <t>Yale</t>
  </si>
  <si>
    <t>Youngstown State</t>
  </si>
  <si>
    <t>Seattle</t>
  </si>
  <si>
    <t>South Dakota</t>
  </si>
  <si>
    <t>North Dakota</t>
  </si>
  <si>
    <t>SIU Edwardsville</t>
  </si>
  <si>
    <t>Bryant University</t>
  </si>
  <si>
    <t>Houston Baptist</t>
  </si>
  <si>
    <t>Illinois-Chicago</t>
  </si>
  <si>
    <t>Pennsylvania</t>
  </si>
  <si>
    <t>Ohio</t>
  </si>
  <si>
    <t>Northern Iowa</t>
  </si>
  <si>
    <t>Long Island</t>
  </si>
  <si>
    <t>St. Francis (PA)</t>
  </si>
  <si>
    <t>Texas-San Antonio</t>
  </si>
  <si>
    <t>Arkansas-Little Rock</t>
  </si>
  <si>
    <t>Louisiana-Monroe</t>
  </si>
  <si>
    <t>Maryland-Eastern Shore</t>
  </si>
  <si>
    <t>Suffolk</t>
  </si>
  <si>
    <t>Northern Kentucky</t>
  </si>
  <si>
    <t>Nebraska Omaha</t>
  </si>
  <si>
    <t>Massachusetts-Lowell</t>
  </si>
  <si>
    <t>Purdue Fort Wayne</t>
  </si>
  <si>
    <t>Grand Canyon</t>
  </si>
  <si>
    <t>SCDDGC</t>
  </si>
  <si>
    <t>USADVB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</si>
</sst>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54"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85DAA5C-03D4-4373-B597-FFDEAF962467}" autoFormatId="16" applyNumberFormats="0" applyBorderFormats="0" applyFontFormats="0" applyPatternFormats="0" applyAlignmentFormats="0" applyWidthHeightFormats="0">
  <queryTableRefresh nextId="14">
    <queryTableFields count="13">
      <queryTableField id="1" name="BusinessUnit" tableColumnId="1"/>
      <queryTableField id="2" name="YearPick" tableColumnId="2"/>
      <queryTableField id="3" name="EventType" tableColumnId="3"/>
      <queryTableField id="4" name="PoolNbr" tableColumnId="4"/>
      <queryTableField id="5" name="Quarter" tableColumnId="5"/>
      <queryTableField id="6" name="SeqNo" tableColumnId="6"/>
      <queryTableField id="13" dataBound="0" tableColumnId="13"/>
      <queryTableField id="12" dataBound="0" tableColumnId="12"/>
      <queryTableField id="7" name="TopLast" tableColumnId="7"/>
      <queryTableField id="8" name="LeftLast" tableColumnId="8"/>
      <queryTableField id="9" name="TopScore" tableColumnId="9"/>
      <queryTableField id="10" name="LeftScore" tableColumnId="10"/>
      <queryTableField id="11" name="Status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E0CF2318-6A51-424B-9988-0E693BC1063A}" autoFormatId="16" applyNumberFormats="0" applyBorderFormats="0" applyFontFormats="0" applyPatternFormats="0" applyAlignmentFormats="0" applyWidthHeightFormats="0">
  <queryTableRefresh nextId="14">
    <queryTableFields count="13">
      <queryTableField id="1" name="BusinessUnit" tableColumnId="1"/>
      <queryTableField id="2" name="YearPick" tableColumnId="2"/>
      <queryTableField id="3" name="EventType" tableColumnId="3"/>
      <queryTableField id="4" name="PoolNbr" tableColumnId="4"/>
      <queryTableField id="5" name="Quarter" tableColumnId="5"/>
      <queryTableField id="6" name="SeqNo" tableColumnId="6"/>
      <queryTableField id="13" dataBound="0" tableColumnId="13"/>
      <queryTableField id="12" dataBound="0" tableColumnId="12"/>
      <queryTableField id="7" name="TopLast" tableColumnId="7"/>
      <queryTableField id="8" name="LeftLast" tableColumnId="8"/>
      <queryTableField id="9" name="TopScore" tableColumnId="9"/>
      <queryTableField id="10" name="LeftScore" tableColumnId="10"/>
      <queryTableField id="11" name="Status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5572B8E-9DD8-4BF6-B64E-2658B2568334}" autoFormatId="16" applyNumberFormats="0" applyBorderFormats="0" applyFontFormats="0" applyPatternFormats="0" applyAlignmentFormats="0" applyWidthHeightFormats="0">
  <queryTableRefresh nextId="14">
    <queryTableFields count="13">
      <queryTableField id="1" name="BusinessUnit" tableColumnId="1"/>
      <queryTableField id="2" name="YearPick" tableColumnId="2"/>
      <queryTableField id="3" name="EventType" tableColumnId="3"/>
      <queryTableField id="4" name="PoolNbr" tableColumnId="4"/>
      <queryTableField id="5" name="Quarter" tableColumnId="5"/>
      <queryTableField id="6" name="SeqNo" tableColumnId="6"/>
      <queryTableField id="13" dataBound="0" tableColumnId="13"/>
      <queryTableField id="12" dataBound="0" tableColumnId="12"/>
      <queryTableField id="7" name="TopLast" tableColumnId="7"/>
      <queryTableField id="8" name="LeftLast" tableColumnId="8"/>
      <queryTableField id="9" name="TopScore" tableColumnId="9"/>
      <queryTableField id="10" name="LeftScore" tableColumnId="10"/>
      <queryTableField id="11" name="Status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65C94572-027C-4CBD-976C-0FD00AEEBCBE}" autoFormatId="16" applyNumberFormats="0" applyBorderFormats="0" applyFontFormats="0" applyPatternFormats="0" applyAlignmentFormats="0" applyWidthHeightFormats="0">
  <queryTableRefresh nextId="14">
    <queryTableFields count="13">
      <queryTableField id="1" name="BusinessUnit" tableColumnId="1"/>
      <queryTableField id="2" name="YearPick" tableColumnId="2"/>
      <queryTableField id="3" name="EventType" tableColumnId="3"/>
      <queryTableField id="4" name="PoolNbr" tableColumnId="4"/>
      <queryTableField id="5" name="Quarter" tableColumnId="5"/>
      <queryTableField id="6" name="SeqNo" tableColumnId="6"/>
      <queryTableField id="13" dataBound="0" tableColumnId="13"/>
      <queryTableField id="12" dataBound="0" tableColumnId="12"/>
      <queryTableField id="7" name="TopLast" tableColumnId="7"/>
      <queryTableField id="8" name="LeftLast" tableColumnId="8"/>
      <queryTableField id="9" name="TopScore" tableColumnId="9"/>
      <queryTableField id="10" name="LeftScore" tableColumnId="10"/>
      <queryTableField id="11" name="Status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2F64E348-B6CB-4AF2-A586-7D9E7D48745A}" autoFormatId="16" applyNumberFormats="0" applyBorderFormats="0" applyFontFormats="0" applyPatternFormats="0" applyAlignmentFormats="0" applyWidthHeightFormats="0">
  <queryTableRefresh nextId="3">
    <queryTableFields count="2">
      <queryTableField id="1" name="Team" tableColumnId="1"/>
      <queryTableField id="2" name="Description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9E0402-9786-4550-8BC1-F5E49EA95172}" name="squaregridwinners_20240224" displayName="squaregridwinners_20240224" ref="A1:M63" tableType="queryTable" totalsRowShown="0">
  <tableColumns count="13">
    <tableColumn id="1" xr3:uid="{997D24EA-CE65-4C3D-94DE-013800D06713}" uniqueName="1" name="BusinessUnit" queryTableFieldId="1" dataDxfId="53"/>
    <tableColumn id="2" xr3:uid="{C38325C0-CE58-49D2-AEB5-9D315BB34994}" uniqueName="2" name="YearPick" queryTableFieldId="2" dataDxfId="52"/>
    <tableColumn id="3" xr3:uid="{75530092-62C8-4A54-A911-C20DD25C4F5A}" uniqueName="3" name="EventType" queryTableFieldId="3" dataDxfId="51"/>
    <tableColumn id="4" xr3:uid="{EFCC4AB5-DF78-4E97-8B95-002435B4A172}" uniqueName="4" name="PoolNbr" queryTableFieldId="4" dataDxfId="50"/>
    <tableColumn id="5" xr3:uid="{2B2FE904-8907-400C-BC0A-A0D3FF8928A0}" uniqueName="5" name="Quarter" queryTableFieldId="5" dataDxfId="49"/>
    <tableColumn id="6" xr3:uid="{F2AE1CE6-6342-41C9-8FFE-2041BB8F82AA}" uniqueName="6" name="SeqNo" queryTableFieldId="6" dataDxfId="48"/>
    <tableColumn id="13" xr3:uid="{500C84A0-BB9F-4939-8090-D6A3545E18B3}" uniqueName="13" name="WinningTeam" queryTableFieldId="13" dataDxfId="47"/>
    <tableColumn id="12" xr3:uid="{B263E3DC-A4D2-40E5-A4B1-4DA4B344DBD8}" uniqueName="12" name="LosingTeam" queryTableFieldId="12" dataDxfId="46"/>
    <tableColumn id="7" xr3:uid="{8ED28AF7-37D1-4252-A20C-D28D81E4D913}" uniqueName="7" name="TopLast" queryTableFieldId="7" dataDxfId="45"/>
    <tableColumn id="8" xr3:uid="{D86092C4-1025-44E1-B101-016A5E836ED3}" uniqueName="8" name="LeftLast" queryTableFieldId="8" dataDxfId="44"/>
    <tableColumn id="9" xr3:uid="{BF6B1138-A252-4715-947A-8E54AAA52A66}" uniqueName="9" name="TopScore" queryTableFieldId="9" dataDxfId="43"/>
    <tableColumn id="10" xr3:uid="{C7BACF83-3567-46AD-AD4C-D9156FB888C7}" uniqueName="10" name="LeftScore" queryTableFieldId="10" dataDxfId="42"/>
    <tableColumn id="11" xr3:uid="{93545006-00FC-41A5-94CE-70603F9426E0}" uniqueName="11" name="Status" queryTableFieldId="11" dataDxfId="4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CEF5E1B-AAA7-4D7A-A206-63FD00B66FA3}" name="squaregridwinners_202402247" displayName="squaregridwinners_202402247" ref="A1:M57" tableType="queryTable" totalsRowShown="0">
  <tableColumns count="13">
    <tableColumn id="1" xr3:uid="{BC95B7C7-3E15-4AB3-9652-A36084CA6A0E}" uniqueName="1" name="BusinessUnit" queryTableFieldId="1" dataDxfId="40"/>
    <tableColumn id="2" xr3:uid="{321D42B2-4BCD-4F57-9020-8EF48FD79488}" uniqueName="2" name="YearPick" queryTableFieldId="2" dataDxfId="39"/>
    <tableColumn id="3" xr3:uid="{7588EB0F-232A-4E4D-BFC7-6B22BE15932D}" uniqueName="3" name="EventType" queryTableFieldId="3" dataDxfId="38"/>
    <tableColumn id="4" xr3:uid="{67F935ED-A394-42EA-9413-F21879C5F032}" uniqueName="4" name="PoolNbr" queryTableFieldId="4" dataDxfId="37"/>
    <tableColumn id="5" xr3:uid="{515EC555-F2DC-4D6B-A9BC-62D69DCA81BC}" uniqueName="5" name="Quarter" queryTableFieldId="5" dataDxfId="36"/>
    <tableColumn id="6" xr3:uid="{17CF3761-5FB5-40E2-B1B2-258901903FFE}" uniqueName="6" name="SeqNo" queryTableFieldId="6" dataDxfId="35"/>
    <tableColumn id="13" xr3:uid="{7FC1AE09-921D-4011-80D1-701610C25E85}" uniqueName="13" name="WinningTeam" queryTableFieldId="13" dataDxfId="34"/>
    <tableColumn id="12" xr3:uid="{C4F101DC-A807-43C6-B6B2-FC71EDD50B82}" uniqueName="12" name="LosingTeam" queryTableFieldId="12" dataDxfId="33"/>
    <tableColumn id="7" xr3:uid="{1CFD1303-F871-4BC3-BAF4-739021DDCE92}" uniqueName="7" name="TopLast" queryTableFieldId="7" dataDxfId="32"/>
    <tableColumn id="8" xr3:uid="{59602AAE-E8F6-4A7F-B794-81B3A410164F}" uniqueName="8" name="LeftLast" queryTableFieldId="8" dataDxfId="31"/>
    <tableColumn id="9" xr3:uid="{00905EFC-8579-40A8-9482-7D05ADBC02B4}" uniqueName="9" name="TopScore" queryTableFieldId="9" dataDxfId="30"/>
    <tableColumn id="10" xr3:uid="{7A1BD7DF-9A18-4556-848B-0A2673329D2E}" uniqueName="10" name="LeftScore" queryTableFieldId="10" dataDxfId="29"/>
    <tableColumn id="11" xr3:uid="{921A2483-2281-4A93-9F8C-EF319831A411}" uniqueName="11" name="Status" queryTableFieldId="11" dataDxfId="2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DC025B-ED7C-41F3-8682-9F531F1C9877}" name="squaregridwinners_202402245" displayName="squaregridwinners_202402245" ref="A1:M61" tableType="queryTable" totalsRowShown="0">
  <tableColumns count="13">
    <tableColumn id="1" xr3:uid="{DDA9518E-CF81-40E9-B304-21A49F91E18D}" uniqueName="1" name="BusinessUnit" queryTableFieldId="1" dataDxfId="27"/>
    <tableColumn id="2" xr3:uid="{C6C05AC1-54E7-4C83-8FD1-7B234C191A02}" uniqueName="2" name="YearPick" queryTableFieldId="2" dataDxfId="26"/>
    <tableColumn id="3" xr3:uid="{8AD88E49-36CF-45EA-B637-4605E3734E8F}" uniqueName="3" name="EventType" queryTableFieldId="3" dataDxfId="25"/>
    <tableColumn id="4" xr3:uid="{7208C328-BA50-48A2-92D0-115A2EB8E11C}" uniqueName="4" name="PoolNbr" queryTableFieldId="4" dataDxfId="24"/>
    <tableColumn id="5" xr3:uid="{35A650BA-9C03-48AB-96E8-5344355F5FEA}" uniqueName="5" name="Quarter" queryTableFieldId="5" dataDxfId="23"/>
    <tableColumn id="6" xr3:uid="{DF842D6D-EC71-4211-B167-A6CE541A35A8}" uniqueName="6" name="SeqNo" queryTableFieldId="6" dataDxfId="22"/>
    <tableColumn id="13" xr3:uid="{BE5E28B3-B877-449E-B8B8-5004EF53D7CA}" uniqueName="13" name="WinningTeam" queryTableFieldId="13" dataDxfId="21"/>
    <tableColumn id="12" xr3:uid="{E31338FE-BE2F-47B7-93E2-27F8D4ED23F2}" uniqueName="12" name="LosingTeam" queryTableFieldId="12" dataDxfId="20"/>
    <tableColumn id="7" xr3:uid="{D444FC84-1D39-457C-9F15-024F1D5D54CC}" uniqueName="7" name="TopLast" queryTableFieldId="7" dataDxfId="19"/>
    <tableColumn id="8" xr3:uid="{ED064F19-A8D9-4971-8CD3-A65EFF19D958}" uniqueName="8" name="LeftLast" queryTableFieldId="8" dataDxfId="18"/>
    <tableColumn id="9" xr3:uid="{4B8B498F-E5BA-45BC-9FCE-C9082AF7AEA3}" uniqueName="9" name="TopScore" queryTableFieldId="9" dataDxfId="17"/>
    <tableColumn id="10" xr3:uid="{3A67736B-63E0-497B-ACD7-DA033167E458}" uniqueName="10" name="LeftScore" queryTableFieldId="10" dataDxfId="16"/>
    <tableColumn id="11" xr3:uid="{A9AAC640-FBCF-48A2-88E3-8944DF21BCE0}" uniqueName="11" name="Status" queryTableFieldId="11" dataDxf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8009D8-01AB-4814-9D52-A0E77A9F4D10}" name="squaregridwinners_2024022456" displayName="squaregridwinners_2024022456" ref="A1:M57" tableType="queryTable" totalsRowShown="0">
  <tableColumns count="13">
    <tableColumn id="1" xr3:uid="{339CBD59-2FBB-41DC-8DEA-AD0DCBAC440F}" uniqueName="1" name="BusinessUnit" queryTableFieldId="1" dataDxfId="14"/>
    <tableColumn id="2" xr3:uid="{2C06396D-CD57-42D4-BDF2-166B85865BA8}" uniqueName="2" name="YearPick" queryTableFieldId="2" dataDxfId="13"/>
    <tableColumn id="3" xr3:uid="{C24BA9D0-08D4-4984-9388-9C7E63B61D58}" uniqueName="3" name="EventType" queryTableFieldId="3" dataDxfId="12"/>
    <tableColumn id="4" xr3:uid="{6CA00342-94F4-460F-99B4-2D007C9A3A96}" uniqueName="4" name="PoolNbr" queryTableFieldId="4" dataDxfId="11"/>
    <tableColumn id="5" xr3:uid="{BF78DB7C-AB68-47F6-BC47-767E051C676D}" uniqueName="5" name="Quarter" queryTableFieldId="5" dataDxfId="10"/>
    <tableColumn id="6" xr3:uid="{5096A3C5-21D3-49D9-A855-73F4CA80A94F}" uniqueName="6" name="SeqNo" queryTableFieldId="6" dataDxfId="9"/>
    <tableColumn id="13" xr3:uid="{8AE2FE46-C197-4170-9517-9A91481DC68C}" uniqueName="13" name="WinningTeam" queryTableFieldId="13" dataDxfId="8"/>
    <tableColumn id="12" xr3:uid="{FFF249A8-024E-454B-9F45-2C3FB5D4DF3E}" uniqueName="12" name="LosingTeam" queryTableFieldId="12" dataDxfId="7"/>
    <tableColumn id="7" xr3:uid="{9584D17F-13F0-41AD-A3C7-F11E3F69963B}" uniqueName="7" name="TopLast" queryTableFieldId="7" dataDxfId="6"/>
    <tableColumn id="8" xr3:uid="{AACFA393-F42B-4EB5-BE3B-C09466E135A2}" uniqueName="8" name="LeftLast" queryTableFieldId="8" dataDxfId="5"/>
    <tableColumn id="9" xr3:uid="{9F4C05A5-EDD3-4745-AA53-C0D4BB95570E}" uniqueName="9" name="TopScore" queryTableFieldId="9" dataDxfId="4"/>
    <tableColumn id="10" xr3:uid="{9310B6F8-3AF6-4E49-AB7F-DF95733D8E8C}" uniqueName="10" name="LeftScore" queryTableFieldId="10" dataDxfId="3"/>
    <tableColumn id="11" xr3:uid="{E55DE166-BEF0-4A82-B71C-C2A2641C28C0}" uniqueName="11" name="Status" queryTableFieldId="11" dataDxf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67BC5B-D1A1-4990-978C-ADED03DB8074}" name="Colleges__39" displayName="Colleges__39" ref="A1:B364" tableType="queryTable" totalsRowShown="0">
  <tableColumns count="2">
    <tableColumn id="1" xr3:uid="{952054E3-90FF-408B-ACFD-B78298FC6C82}" uniqueName="1" name="Team" queryTableFieldId="1" dataDxfId="1"/>
    <tableColumn id="2" xr3:uid="{CAF339F5-34FF-410B-BDE7-E4D5046E2D14}" uniqueName="2" name="Description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CD18C-BB9B-4D46-92BC-D29FEB65E963}">
  <dimension ref="A1:O64"/>
  <sheetViews>
    <sheetView topLeftCell="A54" workbookViewId="0">
      <selection activeCell="G64" sqref="G64:L64"/>
    </sheetView>
  </sheetViews>
  <sheetFormatPr defaultRowHeight="14.4" x14ac:dyDescent="0.3"/>
  <cols>
    <col min="1" max="1" width="14" bestFit="1" customWidth="1"/>
    <col min="2" max="2" width="10.5546875" style="1" bestFit="1" customWidth="1"/>
    <col min="3" max="3" width="11.6640625" style="1" bestFit="1" customWidth="1"/>
    <col min="4" max="4" width="10" style="1" bestFit="1" customWidth="1"/>
    <col min="5" max="5" width="9.5546875" style="1" bestFit="1" customWidth="1"/>
    <col min="6" max="6" width="8.6640625" style="1" bestFit="1" customWidth="1"/>
    <col min="7" max="8" width="12.6640625" style="1" customWidth="1"/>
    <col min="9" max="10" width="9.6640625" style="1" bestFit="1" customWidth="1"/>
    <col min="11" max="11" width="11" style="1" bestFit="1" customWidth="1"/>
    <col min="12" max="12" width="11.109375" style="1" bestFit="1" customWidth="1"/>
    <col min="13" max="13" width="8.5546875" style="1" bestFit="1" customWidth="1"/>
  </cols>
  <sheetData>
    <row r="1" spans="1:1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  <c r="H1" s="1" t="s">
        <v>14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5" x14ac:dyDescent="0.3">
      <c r="A2" t="s">
        <v>11</v>
      </c>
      <c r="B2" s="1">
        <v>2024</v>
      </c>
      <c r="C2" s="1">
        <v>6</v>
      </c>
      <c r="D2" s="1">
        <v>1</v>
      </c>
      <c r="E2" s="1">
        <v>1</v>
      </c>
      <c r="F2" s="1">
        <v>1</v>
      </c>
      <c r="G2" s="1">
        <v>161</v>
      </c>
      <c r="H2" s="1">
        <v>166</v>
      </c>
      <c r="I2" s="1">
        <v>9</v>
      </c>
      <c r="J2" s="1">
        <v>1</v>
      </c>
      <c r="K2" s="1">
        <v>69</v>
      </c>
      <c r="L2" s="1">
        <v>51</v>
      </c>
      <c r="M2" s="1" t="s">
        <v>12</v>
      </c>
      <c r="O2" t="str">
        <f>CONCATENATE("update squaregridwinners set WinningTeam = ",G2,", LosingTeam = ",H2," where BusinessUnit = '",A2,"' and YearPick = ",B2," and EventType = ",C2," and PoolNbr = ",D2," and Quarter = ",E2," and SeqNo = ",F2,";")</f>
        <v>update squaregridwinners set WinningTeam = 161, LosingTeam = 166 where BusinessUnit = 'PCDWBA' and YearPick = 2024 and EventType = 6 and PoolNbr = 1 and Quarter = 1 and SeqNo = 1;</v>
      </c>
    </row>
    <row r="3" spans="1:15" x14ac:dyDescent="0.3">
      <c r="A3" t="s">
        <v>11</v>
      </c>
      <c r="B3" s="1">
        <v>2024</v>
      </c>
      <c r="C3" s="1">
        <v>6</v>
      </c>
      <c r="D3" s="1">
        <v>1</v>
      </c>
      <c r="E3" s="1">
        <v>1</v>
      </c>
      <c r="F3" s="1">
        <v>2</v>
      </c>
      <c r="G3" s="1">
        <v>73</v>
      </c>
      <c r="H3" s="1">
        <v>32</v>
      </c>
      <c r="I3" s="1">
        <v>1</v>
      </c>
      <c r="J3" s="1">
        <v>7</v>
      </c>
      <c r="K3" s="1">
        <v>71</v>
      </c>
      <c r="L3" s="1">
        <v>67</v>
      </c>
      <c r="M3" s="1" t="s">
        <v>12</v>
      </c>
      <c r="O3" t="str">
        <f>CONCATENATE("update squaregridwinners set WinningTeam = ",G3,", LosingTeam = ",H3," where BusinessUnit = '",A3,"' and YearPick = ",B3," and EventType = ",C3," and PoolNbr = ",D3," and Quarter = ",E3," and SeqNo = ",F3,";")</f>
        <v>update squaregridwinners set WinningTeam = 73, LosingTeam = 32 where BusinessUnit = 'PCDWBA' and YearPick = 2024 and EventType = 6 and PoolNbr = 1 and Quarter = 1 and SeqNo = 2;</v>
      </c>
    </row>
    <row r="4" spans="1:15" x14ac:dyDescent="0.3">
      <c r="A4" t="s">
        <v>11</v>
      </c>
      <c r="B4" s="1">
        <v>2024</v>
      </c>
      <c r="C4" s="1">
        <v>6</v>
      </c>
      <c r="D4" s="1">
        <v>1</v>
      </c>
      <c r="E4" s="1">
        <v>1</v>
      </c>
      <c r="F4" s="1">
        <v>3</v>
      </c>
      <c r="G4" s="1">
        <v>61</v>
      </c>
      <c r="H4" s="1">
        <v>2</v>
      </c>
      <c r="I4" s="1">
        <v>7</v>
      </c>
      <c r="J4" s="1">
        <v>0</v>
      </c>
      <c r="K4" s="1">
        <v>77</v>
      </c>
      <c r="L4" s="1">
        <v>60</v>
      </c>
      <c r="M4" s="1" t="s">
        <v>12</v>
      </c>
      <c r="O4" t="str">
        <f t="shared" ref="O4:O53" si="0">CONCATENATE("update squaregridwinners set WinningTeam = ",G4,", LosingTeam = ",H4," where BusinessUnit = '",A4,"' and YearPick = ",B4," and EventType = ",C4," and PoolNbr = ",D4," and Quarter = ",E4," and SeqNo = ",F4,";")</f>
        <v>update squaregridwinners set WinningTeam = 61, LosingTeam = 2 where BusinessUnit = 'PCDWBA' and YearPick = 2024 and EventType = 6 and PoolNbr = 1 and Quarter = 1 and SeqNo = 3;</v>
      </c>
    </row>
    <row r="5" spans="1:15" x14ac:dyDescent="0.3">
      <c r="A5" t="s">
        <v>11</v>
      </c>
      <c r="B5" s="1">
        <v>2024</v>
      </c>
      <c r="C5" s="1">
        <v>6</v>
      </c>
      <c r="D5" s="1">
        <v>1</v>
      </c>
      <c r="E5" s="1">
        <v>1</v>
      </c>
      <c r="F5" s="1">
        <v>4</v>
      </c>
      <c r="G5" s="1">
        <v>10</v>
      </c>
      <c r="H5" s="1">
        <v>140</v>
      </c>
      <c r="I5" s="1">
        <v>5</v>
      </c>
      <c r="J5" s="1">
        <v>5</v>
      </c>
      <c r="K5" s="1">
        <v>85</v>
      </c>
      <c r="L5" s="1">
        <v>65</v>
      </c>
      <c r="M5" s="1" t="s">
        <v>12</v>
      </c>
      <c r="O5" t="str">
        <f t="shared" si="0"/>
        <v>update squaregridwinners set WinningTeam = 10, LosingTeam = 140 where BusinessUnit = 'PCDWBA' and YearPick = 2024 and EventType = 6 and PoolNbr = 1 and Quarter = 1 and SeqNo = 4;</v>
      </c>
    </row>
    <row r="6" spans="1:15" x14ac:dyDescent="0.3">
      <c r="A6" t="s">
        <v>11</v>
      </c>
      <c r="B6" s="1">
        <v>2024</v>
      </c>
      <c r="C6" s="1">
        <v>6</v>
      </c>
      <c r="D6" s="1">
        <v>1</v>
      </c>
      <c r="E6" s="1">
        <v>1</v>
      </c>
      <c r="F6" s="1">
        <v>5</v>
      </c>
      <c r="G6" s="1">
        <v>188</v>
      </c>
      <c r="H6" s="1">
        <v>321</v>
      </c>
      <c r="I6" s="1">
        <v>0</v>
      </c>
      <c r="J6" s="1">
        <v>2</v>
      </c>
      <c r="K6" s="1">
        <v>90</v>
      </c>
      <c r="L6" s="1">
        <v>62</v>
      </c>
      <c r="M6" s="1" t="s">
        <v>12</v>
      </c>
      <c r="O6" t="str">
        <f t="shared" si="0"/>
        <v>update squaregridwinners set WinningTeam = 188, LosingTeam = 321 where BusinessUnit = 'PCDWBA' and YearPick = 2024 and EventType = 6 and PoolNbr = 1 and Quarter = 1 and SeqNo = 5;</v>
      </c>
    </row>
    <row r="7" spans="1:15" x14ac:dyDescent="0.3">
      <c r="A7" t="s">
        <v>11</v>
      </c>
      <c r="B7" s="1">
        <v>2024</v>
      </c>
      <c r="C7" s="1">
        <v>6</v>
      </c>
      <c r="D7" s="1">
        <v>1</v>
      </c>
      <c r="E7" s="1">
        <v>1</v>
      </c>
      <c r="F7" s="1">
        <v>6</v>
      </c>
      <c r="G7" s="1">
        <v>115</v>
      </c>
      <c r="H7" s="1">
        <v>173</v>
      </c>
      <c r="I7" s="1">
        <v>5</v>
      </c>
      <c r="J7" s="1">
        <v>9</v>
      </c>
      <c r="K7" s="1">
        <v>85</v>
      </c>
      <c r="L7" s="1">
        <v>69</v>
      </c>
      <c r="M7" s="1" t="s">
        <v>12</v>
      </c>
      <c r="O7" t="str">
        <f t="shared" si="0"/>
        <v>update squaregridwinners set WinningTeam = 115, LosingTeam = 173 where BusinessUnit = 'PCDWBA' and YearPick = 2024 and EventType = 6 and PoolNbr = 1 and Quarter = 1 and SeqNo = 6;</v>
      </c>
    </row>
    <row r="8" spans="1:15" x14ac:dyDescent="0.3">
      <c r="A8" t="s">
        <v>11</v>
      </c>
      <c r="B8" s="1">
        <v>2024</v>
      </c>
      <c r="C8" s="1">
        <v>6</v>
      </c>
      <c r="D8" s="1">
        <v>1</v>
      </c>
      <c r="E8" s="1">
        <v>1</v>
      </c>
      <c r="F8" s="1">
        <v>7</v>
      </c>
      <c r="G8" s="1">
        <v>209</v>
      </c>
      <c r="H8" s="1">
        <v>250</v>
      </c>
      <c r="I8" s="1">
        <v>7</v>
      </c>
      <c r="J8" s="1">
        <v>3</v>
      </c>
      <c r="K8" s="1">
        <v>87</v>
      </c>
      <c r="L8" s="1">
        <v>73</v>
      </c>
      <c r="M8" s="1" t="s">
        <v>12</v>
      </c>
      <c r="O8" t="str">
        <f t="shared" si="0"/>
        <v>update squaregridwinners set WinningTeam = 209, LosingTeam = 250 where BusinessUnit = 'PCDWBA' and YearPick = 2024 and EventType = 6 and PoolNbr = 1 and Quarter = 1 and SeqNo = 7;</v>
      </c>
    </row>
    <row r="9" spans="1:15" x14ac:dyDescent="0.3">
      <c r="A9" t="s">
        <v>11</v>
      </c>
      <c r="B9" s="1">
        <v>2024</v>
      </c>
      <c r="C9" s="1">
        <v>6</v>
      </c>
      <c r="D9" s="1">
        <v>1</v>
      </c>
      <c r="E9" s="1">
        <v>1</v>
      </c>
      <c r="F9" s="1">
        <v>8</v>
      </c>
      <c r="G9" s="1">
        <v>64</v>
      </c>
      <c r="H9" s="1">
        <v>179</v>
      </c>
      <c r="I9" s="1">
        <v>3</v>
      </c>
      <c r="J9" s="1">
        <v>0</v>
      </c>
      <c r="K9" s="1">
        <v>63</v>
      </c>
      <c r="L9" s="1">
        <v>60</v>
      </c>
      <c r="M9" s="1" t="s">
        <v>12</v>
      </c>
      <c r="O9" t="str">
        <f t="shared" si="0"/>
        <v>update squaregridwinners set WinningTeam = 64, LosingTeam = 179 where BusinessUnit = 'PCDWBA' and YearPick = 2024 and EventType = 6 and PoolNbr = 1 and Quarter = 1 and SeqNo = 8;</v>
      </c>
    </row>
    <row r="10" spans="1:15" x14ac:dyDescent="0.3">
      <c r="A10" t="s">
        <v>11</v>
      </c>
      <c r="B10" s="1">
        <v>2024</v>
      </c>
      <c r="C10" s="1">
        <v>6</v>
      </c>
      <c r="D10" s="1">
        <v>1</v>
      </c>
      <c r="E10" s="1">
        <v>1</v>
      </c>
      <c r="F10" s="1">
        <v>9</v>
      </c>
      <c r="G10" s="1">
        <v>273</v>
      </c>
      <c r="H10" s="1">
        <v>56</v>
      </c>
      <c r="I10" s="1">
        <v>6</v>
      </c>
      <c r="J10" s="1">
        <v>4</v>
      </c>
      <c r="K10" s="1">
        <v>56</v>
      </c>
      <c r="L10" s="1">
        <v>44</v>
      </c>
      <c r="M10" s="1" t="s">
        <v>12</v>
      </c>
      <c r="O10" t="str">
        <f t="shared" si="0"/>
        <v>update squaregridwinners set WinningTeam = 273, LosingTeam = 56 where BusinessUnit = 'PCDWBA' and YearPick = 2024 and EventType = 6 and PoolNbr = 1 and Quarter = 1 and SeqNo = 9;</v>
      </c>
    </row>
    <row r="11" spans="1:15" x14ac:dyDescent="0.3">
      <c r="A11" t="s">
        <v>11</v>
      </c>
      <c r="B11" s="1">
        <v>2024</v>
      </c>
      <c r="C11" s="1">
        <v>6</v>
      </c>
      <c r="D11" s="1">
        <v>1</v>
      </c>
      <c r="E11" s="1">
        <v>1</v>
      </c>
      <c r="F11" s="1">
        <v>10</v>
      </c>
      <c r="G11" s="1">
        <v>202</v>
      </c>
      <c r="H11" s="1">
        <v>132</v>
      </c>
      <c r="I11" s="1">
        <v>0</v>
      </c>
      <c r="J11" s="1">
        <v>6</v>
      </c>
      <c r="K11" s="1">
        <v>80</v>
      </c>
      <c r="L11" s="1">
        <v>76</v>
      </c>
      <c r="M11" s="1" t="s">
        <v>12</v>
      </c>
      <c r="O11" t="str">
        <f t="shared" si="0"/>
        <v>update squaregridwinners set WinningTeam = 202, LosingTeam = 132 where BusinessUnit = 'PCDWBA' and YearPick = 2024 and EventType = 6 and PoolNbr = 1 and Quarter = 1 and SeqNo = 10;</v>
      </c>
    </row>
    <row r="12" spans="1:15" x14ac:dyDescent="0.3">
      <c r="A12" t="s">
        <v>11</v>
      </c>
      <c r="B12" s="1">
        <v>2024</v>
      </c>
      <c r="C12" s="1">
        <v>6</v>
      </c>
      <c r="D12" s="1">
        <v>1</v>
      </c>
      <c r="E12" s="1">
        <v>1</v>
      </c>
      <c r="F12" s="1">
        <v>11</v>
      </c>
      <c r="G12" s="1">
        <v>121</v>
      </c>
      <c r="H12" s="1">
        <v>252</v>
      </c>
      <c r="I12" s="1">
        <v>2</v>
      </c>
      <c r="J12" s="1">
        <v>5</v>
      </c>
      <c r="K12" s="1">
        <v>82</v>
      </c>
      <c r="L12" s="1">
        <v>65</v>
      </c>
      <c r="M12" s="1" t="s">
        <v>12</v>
      </c>
      <c r="O12" t="str">
        <f t="shared" si="0"/>
        <v>update squaregridwinners set WinningTeam = 121, LosingTeam = 252 where BusinessUnit = 'PCDWBA' and YearPick = 2024 and EventType = 6 and PoolNbr = 1 and Quarter = 1 and SeqNo = 11;</v>
      </c>
    </row>
    <row r="13" spans="1:15" x14ac:dyDescent="0.3">
      <c r="A13" t="s">
        <v>11</v>
      </c>
      <c r="B13" s="1">
        <v>2024</v>
      </c>
      <c r="C13" s="1">
        <v>6</v>
      </c>
      <c r="D13" s="1">
        <v>1</v>
      </c>
      <c r="E13" s="1">
        <v>1</v>
      </c>
      <c r="F13" s="1">
        <v>12</v>
      </c>
      <c r="G13" s="1">
        <v>101</v>
      </c>
      <c r="H13" s="1">
        <v>155</v>
      </c>
      <c r="I13" s="1">
        <v>6</v>
      </c>
      <c r="J13" s="1">
        <v>5</v>
      </c>
      <c r="K13" s="1">
        <v>86</v>
      </c>
      <c r="L13" s="1">
        <v>65</v>
      </c>
      <c r="M13" s="1" t="s">
        <v>12</v>
      </c>
      <c r="O13" t="str">
        <f t="shared" si="0"/>
        <v>update squaregridwinners set WinningTeam = 101, LosingTeam = 155 where BusinessUnit = 'PCDWBA' and YearPick = 2024 and EventType = 6 and PoolNbr = 1 and Quarter = 1 and SeqNo = 12;</v>
      </c>
    </row>
    <row r="14" spans="1:15" x14ac:dyDescent="0.3">
      <c r="A14" t="s">
        <v>11</v>
      </c>
      <c r="B14" s="1">
        <v>2024</v>
      </c>
      <c r="C14" s="1">
        <v>6</v>
      </c>
      <c r="D14" s="1">
        <v>1</v>
      </c>
      <c r="E14" s="1">
        <v>1</v>
      </c>
      <c r="F14" s="1">
        <v>13</v>
      </c>
      <c r="G14" s="1">
        <v>269</v>
      </c>
      <c r="H14" s="1">
        <v>237</v>
      </c>
      <c r="I14" s="1">
        <v>3</v>
      </c>
      <c r="J14" s="1">
        <v>9</v>
      </c>
      <c r="K14" s="1">
        <v>83</v>
      </c>
      <c r="L14" s="1">
        <v>49</v>
      </c>
      <c r="M14" s="1" t="s">
        <v>12</v>
      </c>
      <c r="O14" t="str">
        <f t="shared" si="0"/>
        <v>update squaregridwinners set WinningTeam = 269, LosingTeam = 237 where BusinessUnit = 'PCDWBA' and YearPick = 2024 and EventType = 6 and PoolNbr = 1 and Quarter = 1 and SeqNo = 13;</v>
      </c>
    </row>
    <row r="15" spans="1:15" x14ac:dyDescent="0.3">
      <c r="A15" t="s">
        <v>11</v>
      </c>
      <c r="B15" s="1">
        <v>2024</v>
      </c>
      <c r="C15" s="1">
        <v>6</v>
      </c>
      <c r="D15" s="1">
        <v>1</v>
      </c>
      <c r="E15" s="1">
        <v>1</v>
      </c>
      <c r="F15" s="1">
        <v>14</v>
      </c>
      <c r="G15" s="1">
        <v>191</v>
      </c>
      <c r="H15" s="1">
        <v>278</v>
      </c>
      <c r="I15" s="1">
        <v>0</v>
      </c>
      <c r="J15" s="1">
        <v>7</v>
      </c>
      <c r="K15" s="1">
        <v>80</v>
      </c>
      <c r="L15" s="1">
        <v>67</v>
      </c>
      <c r="M15" s="1" t="s">
        <v>12</v>
      </c>
      <c r="O15" t="str">
        <f t="shared" si="0"/>
        <v>update squaregridwinners set WinningTeam = 191, LosingTeam = 278 where BusinessUnit = 'PCDWBA' and YearPick = 2024 and EventType = 6 and PoolNbr = 1 and Quarter = 1 and SeqNo = 14;</v>
      </c>
    </row>
    <row r="16" spans="1:15" x14ac:dyDescent="0.3">
      <c r="A16" t="s">
        <v>11</v>
      </c>
      <c r="B16" s="1">
        <v>2024</v>
      </c>
      <c r="C16" s="1">
        <v>6</v>
      </c>
      <c r="D16" s="1">
        <v>1</v>
      </c>
      <c r="E16" s="1">
        <v>1</v>
      </c>
      <c r="F16" s="1">
        <v>15</v>
      </c>
      <c r="G16" s="1">
        <v>324</v>
      </c>
      <c r="H16" s="1">
        <v>70</v>
      </c>
      <c r="I16" s="1">
        <v>6</v>
      </c>
      <c r="J16" s="1">
        <v>1</v>
      </c>
      <c r="K16" s="1">
        <v>66</v>
      </c>
      <c r="L16" s="1">
        <v>61</v>
      </c>
      <c r="M16" s="1" t="s">
        <v>12</v>
      </c>
      <c r="O16" t="str">
        <f t="shared" si="0"/>
        <v>update squaregridwinners set WinningTeam = 324, LosingTeam = 70 where BusinessUnit = 'PCDWBA' and YearPick = 2024 and EventType = 6 and PoolNbr = 1 and Quarter = 1 and SeqNo = 15;</v>
      </c>
    </row>
    <row r="17" spans="1:15" x14ac:dyDescent="0.3">
      <c r="A17" t="s">
        <v>11</v>
      </c>
      <c r="B17" s="1">
        <v>2024</v>
      </c>
      <c r="C17" s="1">
        <v>6</v>
      </c>
      <c r="D17" s="1">
        <v>1</v>
      </c>
      <c r="E17" s="1">
        <v>1</v>
      </c>
      <c r="F17" s="1">
        <v>16</v>
      </c>
      <c r="G17" s="1">
        <v>128</v>
      </c>
      <c r="H17" s="1">
        <v>239</v>
      </c>
      <c r="I17" s="1">
        <v>3</v>
      </c>
      <c r="J17" s="1">
        <v>9</v>
      </c>
      <c r="K17" s="1">
        <v>93</v>
      </c>
      <c r="L17" s="1">
        <v>89</v>
      </c>
      <c r="M17" s="1" t="s">
        <v>12</v>
      </c>
      <c r="O17" t="str">
        <f t="shared" si="0"/>
        <v>update squaregridwinners set WinningTeam = 128, LosingTeam = 239 where BusinessUnit = 'PCDWBA' and YearPick = 2024 and EventType = 6 and PoolNbr = 1 and Quarter = 1 and SeqNo = 16;</v>
      </c>
    </row>
    <row r="18" spans="1:15" x14ac:dyDescent="0.3">
      <c r="A18" t="s">
        <v>11</v>
      </c>
      <c r="B18" s="1">
        <v>2024</v>
      </c>
      <c r="C18" s="1">
        <v>6</v>
      </c>
      <c r="D18" s="1">
        <v>1</v>
      </c>
      <c r="E18" s="1">
        <v>1</v>
      </c>
      <c r="F18" s="1">
        <v>17</v>
      </c>
      <c r="G18" s="1">
        <v>199</v>
      </c>
      <c r="H18" s="1">
        <v>86</v>
      </c>
      <c r="I18" s="1">
        <v>7</v>
      </c>
      <c r="J18" s="1">
        <v>5</v>
      </c>
      <c r="K18" s="1">
        <v>77</v>
      </c>
      <c r="L18" s="1">
        <v>65</v>
      </c>
      <c r="M18" s="1" t="s">
        <v>12</v>
      </c>
      <c r="O18" t="str">
        <f t="shared" si="0"/>
        <v>update squaregridwinners set WinningTeam = 199, LosingTeam = 86 where BusinessUnit = 'PCDWBA' and YearPick = 2024 and EventType = 6 and PoolNbr = 1 and Quarter = 1 and SeqNo = 17;</v>
      </c>
    </row>
    <row r="19" spans="1:15" x14ac:dyDescent="0.3">
      <c r="A19" t="s">
        <v>11</v>
      </c>
      <c r="B19" s="1">
        <v>2024</v>
      </c>
      <c r="C19" s="1">
        <v>6</v>
      </c>
      <c r="D19" s="1">
        <v>1</v>
      </c>
      <c r="E19" s="1">
        <v>1</v>
      </c>
      <c r="F19" s="1">
        <v>18</v>
      </c>
      <c r="G19" s="1">
        <v>19</v>
      </c>
      <c r="H19" s="1">
        <v>53</v>
      </c>
      <c r="I19" s="1">
        <v>2</v>
      </c>
      <c r="J19" s="1">
        <v>7</v>
      </c>
      <c r="K19" s="1">
        <v>92</v>
      </c>
      <c r="L19" s="1">
        <v>67</v>
      </c>
      <c r="M19" s="1" t="s">
        <v>12</v>
      </c>
      <c r="O19" t="str">
        <f t="shared" si="0"/>
        <v>update squaregridwinners set WinningTeam = 19, LosingTeam = 53 where BusinessUnit = 'PCDWBA' and YearPick = 2024 and EventType = 6 and PoolNbr = 1 and Quarter = 1 and SeqNo = 18;</v>
      </c>
    </row>
    <row r="20" spans="1:15" x14ac:dyDescent="0.3">
      <c r="A20" t="s">
        <v>11</v>
      </c>
      <c r="B20" s="1">
        <v>2024</v>
      </c>
      <c r="C20" s="1">
        <v>6</v>
      </c>
      <c r="D20" s="1">
        <v>1</v>
      </c>
      <c r="E20" s="1">
        <v>1</v>
      </c>
      <c r="F20" s="1">
        <v>19</v>
      </c>
      <c r="G20" s="1">
        <v>241</v>
      </c>
      <c r="H20" s="1">
        <v>284</v>
      </c>
      <c r="I20" s="1">
        <v>9</v>
      </c>
      <c r="J20" s="1">
        <v>5</v>
      </c>
      <c r="K20" s="1">
        <v>69</v>
      </c>
      <c r="L20" s="1">
        <v>65</v>
      </c>
      <c r="M20" s="1" t="s">
        <v>12</v>
      </c>
      <c r="O20" t="str">
        <f t="shared" si="0"/>
        <v>update squaregridwinners set WinningTeam = 241, LosingTeam = 284 where BusinessUnit = 'PCDWBA' and YearPick = 2024 and EventType = 6 and PoolNbr = 1 and Quarter = 1 and SeqNo = 19;</v>
      </c>
    </row>
    <row r="21" spans="1:15" x14ac:dyDescent="0.3">
      <c r="A21" t="s">
        <v>11</v>
      </c>
      <c r="B21" s="1">
        <v>2024</v>
      </c>
      <c r="C21" s="1">
        <v>6</v>
      </c>
      <c r="D21" s="1">
        <v>1</v>
      </c>
      <c r="E21" s="1">
        <v>1</v>
      </c>
      <c r="F21" s="1">
        <v>20</v>
      </c>
      <c r="G21" s="1">
        <v>152</v>
      </c>
      <c r="H21" s="1">
        <v>329</v>
      </c>
      <c r="I21" s="1">
        <v>7</v>
      </c>
      <c r="J21" s="1">
        <v>9</v>
      </c>
      <c r="K21" s="1">
        <v>87</v>
      </c>
      <c r="L21" s="1">
        <v>69</v>
      </c>
      <c r="M21" s="1" t="s">
        <v>12</v>
      </c>
      <c r="O21" t="str">
        <f t="shared" si="0"/>
        <v>update squaregridwinners set WinningTeam = 152, LosingTeam = 329 where BusinessUnit = 'PCDWBA' and YearPick = 2024 and EventType = 6 and PoolNbr = 1 and Quarter = 1 and SeqNo = 20;</v>
      </c>
    </row>
    <row r="22" spans="1:15" x14ac:dyDescent="0.3">
      <c r="A22" t="s">
        <v>11</v>
      </c>
      <c r="B22" s="1">
        <v>2024</v>
      </c>
      <c r="C22" s="1">
        <v>6</v>
      </c>
      <c r="D22" s="1">
        <v>1</v>
      </c>
      <c r="E22" s="1">
        <v>1</v>
      </c>
      <c r="F22" s="1">
        <v>21</v>
      </c>
      <c r="G22" s="1">
        <v>50</v>
      </c>
      <c r="H22" s="1">
        <v>181</v>
      </c>
      <c r="I22" s="1">
        <v>7</v>
      </c>
      <c r="J22" s="1">
        <v>6</v>
      </c>
      <c r="K22" s="1">
        <v>77</v>
      </c>
      <c r="L22" s="1">
        <v>56</v>
      </c>
      <c r="M22" s="1" t="s">
        <v>12</v>
      </c>
      <c r="O22" t="str">
        <f t="shared" si="0"/>
        <v>update squaregridwinners set WinningTeam = 50, LosingTeam = 181 where BusinessUnit = 'PCDWBA' and YearPick = 2024 and EventType = 6 and PoolNbr = 1 and Quarter = 1 and SeqNo = 21;</v>
      </c>
    </row>
    <row r="23" spans="1:15" x14ac:dyDescent="0.3">
      <c r="A23" t="s">
        <v>11</v>
      </c>
      <c r="B23" s="1">
        <v>2024</v>
      </c>
      <c r="C23" s="1">
        <v>6</v>
      </c>
      <c r="D23" s="1">
        <v>1</v>
      </c>
      <c r="E23" s="1">
        <v>1</v>
      </c>
      <c r="F23" s="1">
        <v>22</v>
      </c>
      <c r="G23" s="1">
        <v>58</v>
      </c>
      <c r="H23" s="1">
        <v>264</v>
      </c>
      <c r="I23" s="1">
        <v>1</v>
      </c>
      <c r="J23" s="1">
        <v>2</v>
      </c>
      <c r="K23" s="1">
        <v>91</v>
      </c>
      <c r="L23" s="1">
        <v>52</v>
      </c>
      <c r="M23" s="1" t="s">
        <v>12</v>
      </c>
      <c r="O23" t="str">
        <f t="shared" si="0"/>
        <v>update squaregridwinners set WinningTeam = 58, LosingTeam = 264 where BusinessUnit = 'PCDWBA' and YearPick = 2024 and EventType = 6 and PoolNbr = 1 and Quarter = 1 and SeqNo = 22;</v>
      </c>
    </row>
    <row r="24" spans="1:15" x14ac:dyDescent="0.3">
      <c r="A24" t="s">
        <v>11</v>
      </c>
      <c r="B24" s="1">
        <v>2024</v>
      </c>
      <c r="C24" s="1">
        <v>6</v>
      </c>
      <c r="D24" s="1">
        <v>1</v>
      </c>
      <c r="E24" s="1">
        <v>1</v>
      </c>
      <c r="F24" s="1">
        <v>23</v>
      </c>
      <c r="G24" s="1">
        <v>340</v>
      </c>
      <c r="H24" s="1">
        <v>16</v>
      </c>
      <c r="I24" s="1">
        <v>8</v>
      </c>
      <c r="J24" s="1">
        <v>6</v>
      </c>
      <c r="K24" s="1">
        <v>78</v>
      </c>
      <c r="L24" s="1">
        <v>76</v>
      </c>
      <c r="M24" s="1" t="s">
        <v>12</v>
      </c>
      <c r="O24" t="str">
        <f t="shared" si="0"/>
        <v>update squaregridwinners set WinningTeam = 340, LosingTeam = 16 where BusinessUnit = 'PCDWBA' and YearPick = 2024 and EventType = 6 and PoolNbr = 1 and Quarter = 1 and SeqNo = 23;</v>
      </c>
    </row>
    <row r="25" spans="1:15" x14ac:dyDescent="0.3">
      <c r="A25" t="s">
        <v>11</v>
      </c>
      <c r="B25" s="1">
        <v>2024</v>
      </c>
      <c r="C25" s="1">
        <v>6</v>
      </c>
      <c r="D25" s="1">
        <v>1</v>
      </c>
      <c r="E25" s="1">
        <v>1</v>
      </c>
      <c r="F25" s="1">
        <v>24</v>
      </c>
      <c r="G25" s="1">
        <v>55</v>
      </c>
      <c r="H25" s="1">
        <v>84</v>
      </c>
      <c r="I25" s="1">
        <v>2</v>
      </c>
      <c r="J25" s="1">
        <v>0</v>
      </c>
      <c r="K25" s="1">
        <v>102</v>
      </c>
      <c r="L25" s="1">
        <v>100</v>
      </c>
      <c r="M25" s="1" t="s">
        <v>12</v>
      </c>
      <c r="O25" t="str">
        <f t="shared" si="0"/>
        <v>update squaregridwinners set WinningTeam = 55, LosingTeam = 84 where BusinessUnit = 'PCDWBA' and YearPick = 2024 and EventType = 6 and PoolNbr = 1 and Quarter = 1 and SeqNo = 24;</v>
      </c>
    </row>
    <row r="26" spans="1:15" x14ac:dyDescent="0.3">
      <c r="A26" t="s">
        <v>11</v>
      </c>
      <c r="B26" s="1">
        <v>2024</v>
      </c>
      <c r="C26" s="1">
        <v>6</v>
      </c>
      <c r="D26" s="1">
        <v>1</v>
      </c>
      <c r="E26" s="1">
        <v>1</v>
      </c>
      <c r="F26" s="1">
        <v>25</v>
      </c>
      <c r="G26" s="1">
        <v>274</v>
      </c>
      <c r="H26" s="1">
        <v>178</v>
      </c>
      <c r="I26" s="1">
        <v>8</v>
      </c>
      <c r="J26" s="1">
        <v>3</v>
      </c>
      <c r="K26" s="1">
        <v>98</v>
      </c>
      <c r="L26" s="1">
        <v>83</v>
      </c>
      <c r="M26" s="1" t="s">
        <v>12</v>
      </c>
      <c r="O26" t="str">
        <f t="shared" si="0"/>
        <v>update squaregridwinners set WinningTeam = 274, LosingTeam = 178 where BusinessUnit = 'PCDWBA' and YearPick = 2024 and EventType = 6 and PoolNbr = 1 and Quarter = 1 and SeqNo = 25;</v>
      </c>
    </row>
    <row r="27" spans="1:15" x14ac:dyDescent="0.3">
      <c r="A27" t="s">
        <v>11</v>
      </c>
      <c r="B27" s="1">
        <v>2024</v>
      </c>
      <c r="C27" s="1">
        <v>6</v>
      </c>
      <c r="D27" s="1">
        <v>1</v>
      </c>
      <c r="E27" s="1">
        <v>1</v>
      </c>
      <c r="F27" s="1">
        <v>26</v>
      </c>
      <c r="G27" s="1">
        <v>72</v>
      </c>
      <c r="H27" s="1">
        <v>316</v>
      </c>
      <c r="I27" s="1">
        <v>4</v>
      </c>
      <c r="J27" s="1">
        <v>7</v>
      </c>
      <c r="K27" s="1">
        <v>64</v>
      </c>
      <c r="L27" s="1">
        <v>47</v>
      </c>
      <c r="M27" s="1" t="s">
        <v>12</v>
      </c>
      <c r="O27" t="str">
        <f t="shared" si="0"/>
        <v>update squaregridwinners set WinningTeam = 72, LosingTeam = 316 where BusinessUnit = 'PCDWBA' and YearPick = 2024 and EventType = 6 and PoolNbr = 1 and Quarter = 1 and SeqNo = 26;</v>
      </c>
    </row>
    <row r="28" spans="1:15" x14ac:dyDescent="0.3">
      <c r="A28" t="s">
        <v>11</v>
      </c>
      <c r="B28" s="1">
        <v>2024</v>
      </c>
      <c r="C28" s="1">
        <v>6</v>
      </c>
      <c r="D28" s="1">
        <v>1</v>
      </c>
      <c r="E28" s="1">
        <v>1</v>
      </c>
      <c r="F28" s="1">
        <v>27</v>
      </c>
      <c r="G28" s="1">
        <v>222</v>
      </c>
      <c r="H28" s="1">
        <v>102</v>
      </c>
      <c r="I28" s="1">
        <v>8</v>
      </c>
      <c r="J28" s="1">
        <v>0</v>
      </c>
      <c r="K28" s="1">
        <v>78</v>
      </c>
      <c r="L28" s="1">
        <v>50</v>
      </c>
      <c r="M28" s="1" t="s">
        <v>12</v>
      </c>
      <c r="O28" t="str">
        <f t="shared" si="0"/>
        <v>update squaregridwinners set WinningTeam = 222, LosingTeam = 102 where BusinessUnit = 'PCDWBA' and YearPick = 2024 and EventType = 6 and PoolNbr = 1 and Quarter = 1 and SeqNo = 27;</v>
      </c>
    </row>
    <row r="29" spans="1:15" x14ac:dyDescent="0.3">
      <c r="A29" t="s">
        <v>11</v>
      </c>
      <c r="B29" s="1">
        <v>2024</v>
      </c>
      <c r="C29" s="1">
        <v>6</v>
      </c>
      <c r="D29" s="1">
        <v>1</v>
      </c>
      <c r="E29" s="1">
        <v>1</v>
      </c>
      <c r="F29" s="1">
        <v>28</v>
      </c>
      <c r="G29" s="1">
        <v>3</v>
      </c>
      <c r="H29" s="1">
        <v>54</v>
      </c>
      <c r="I29" s="1">
        <v>9</v>
      </c>
      <c r="J29" s="1">
        <v>6</v>
      </c>
      <c r="K29" s="1">
        <v>109</v>
      </c>
      <c r="L29" s="1">
        <v>96</v>
      </c>
      <c r="M29" s="1" t="s">
        <v>12</v>
      </c>
      <c r="O29" t="str">
        <f t="shared" si="0"/>
        <v>update squaregridwinners set WinningTeam = 3, LosingTeam = 54 where BusinessUnit = 'PCDWBA' and YearPick = 2024 and EventType = 6 and PoolNbr = 1 and Quarter = 1 and SeqNo = 28;</v>
      </c>
    </row>
    <row r="30" spans="1:15" x14ac:dyDescent="0.3">
      <c r="A30" t="s">
        <v>11</v>
      </c>
      <c r="B30" s="1">
        <v>2024</v>
      </c>
      <c r="C30" s="1">
        <v>6</v>
      </c>
      <c r="D30" s="1">
        <v>1</v>
      </c>
      <c r="E30" s="1">
        <v>1</v>
      </c>
      <c r="F30" s="1">
        <v>29</v>
      </c>
      <c r="G30" s="1">
        <v>111</v>
      </c>
      <c r="H30" s="1">
        <v>141</v>
      </c>
      <c r="I30" s="1">
        <v>6</v>
      </c>
      <c r="J30" s="1">
        <v>6</v>
      </c>
      <c r="K30" s="1">
        <v>86</v>
      </c>
      <c r="L30" s="1">
        <v>46</v>
      </c>
      <c r="M30" s="1" t="s">
        <v>12</v>
      </c>
      <c r="O30" t="str">
        <f t="shared" si="0"/>
        <v>update squaregridwinners set WinningTeam = 111, LosingTeam = 141 where BusinessUnit = 'PCDWBA' and YearPick = 2024 and EventType = 6 and PoolNbr = 1 and Quarter = 1 and SeqNo = 29;</v>
      </c>
    </row>
    <row r="31" spans="1:15" x14ac:dyDescent="0.3">
      <c r="A31" t="s">
        <v>11</v>
      </c>
      <c r="B31" s="1">
        <v>2024</v>
      </c>
      <c r="C31" s="1">
        <v>6</v>
      </c>
      <c r="D31" s="1">
        <v>1</v>
      </c>
      <c r="E31" s="1">
        <v>1</v>
      </c>
      <c r="F31" s="1">
        <v>30</v>
      </c>
      <c r="G31" s="1">
        <v>127</v>
      </c>
      <c r="H31" s="1">
        <v>335</v>
      </c>
      <c r="I31" s="1">
        <v>2</v>
      </c>
      <c r="J31" s="1">
        <v>1</v>
      </c>
      <c r="K31" s="1">
        <v>72</v>
      </c>
      <c r="L31" s="1">
        <v>61</v>
      </c>
      <c r="M31" s="1" t="s">
        <v>12</v>
      </c>
      <c r="O31" t="str">
        <f t="shared" si="0"/>
        <v>update squaregridwinners set WinningTeam = 127, LosingTeam = 335 where BusinessUnit = 'PCDWBA' and YearPick = 2024 and EventType = 6 and PoolNbr = 1 and Quarter = 1 and SeqNo = 30;</v>
      </c>
    </row>
    <row r="32" spans="1:15" x14ac:dyDescent="0.3">
      <c r="A32" t="s">
        <v>11</v>
      </c>
      <c r="B32" s="1">
        <v>2024</v>
      </c>
      <c r="C32" s="1">
        <v>6</v>
      </c>
      <c r="D32" s="1">
        <v>1</v>
      </c>
      <c r="E32" s="1">
        <v>1</v>
      </c>
      <c r="F32" s="1">
        <v>31</v>
      </c>
      <c r="G32" s="1">
        <v>312</v>
      </c>
      <c r="H32" s="1">
        <v>267</v>
      </c>
      <c r="I32" s="1">
        <v>8</v>
      </c>
      <c r="J32" s="1">
        <v>2</v>
      </c>
      <c r="K32" s="1">
        <v>88</v>
      </c>
      <c r="L32" s="1">
        <v>72</v>
      </c>
      <c r="M32" s="1" t="s">
        <v>12</v>
      </c>
      <c r="O32" t="str">
        <f t="shared" si="0"/>
        <v>update squaregridwinners set WinningTeam = 312, LosingTeam = 267 where BusinessUnit = 'PCDWBA' and YearPick = 2024 and EventType = 6 and PoolNbr = 1 and Quarter = 1 and SeqNo = 31;</v>
      </c>
    </row>
    <row r="33" spans="1:15" x14ac:dyDescent="0.3">
      <c r="A33" t="s">
        <v>11</v>
      </c>
      <c r="B33" s="1">
        <v>2024</v>
      </c>
      <c r="C33" s="1">
        <v>6</v>
      </c>
      <c r="D33" s="1">
        <v>1</v>
      </c>
      <c r="E33" s="1">
        <v>1</v>
      </c>
      <c r="F33" s="1">
        <v>32</v>
      </c>
      <c r="G33" s="1">
        <v>363</v>
      </c>
      <c r="H33" s="1">
        <v>236</v>
      </c>
      <c r="I33" s="1">
        <v>5</v>
      </c>
      <c r="J33" s="1">
        <v>6</v>
      </c>
      <c r="K33" s="1">
        <v>75</v>
      </c>
      <c r="L33" s="1">
        <v>66</v>
      </c>
      <c r="M33" s="1" t="s">
        <v>12</v>
      </c>
      <c r="O33" t="str">
        <f t="shared" si="0"/>
        <v>update squaregridwinners set WinningTeam = 363, LosingTeam = 236 where BusinessUnit = 'PCDWBA' and YearPick = 2024 and EventType = 6 and PoolNbr = 1 and Quarter = 1 and SeqNo = 32;</v>
      </c>
    </row>
    <row r="34" spans="1:15" x14ac:dyDescent="0.3">
      <c r="A34" t="s">
        <v>11</v>
      </c>
      <c r="B34" s="1">
        <v>2024</v>
      </c>
      <c r="C34" s="1">
        <v>6</v>
      </c>
      <c r="D34" s="1">
        <v>1</v>
      </c>
      <c r="E34" s="1">
        <v>2</v>
      </c>
      <c r="F34" s="1">
        <v>1</v>
      </c>
      <c r="G34" s="1">
        <v>10</v>
      </c>
      <c r="H34" s="1">
        <v>64</v>
      </c>
      <c r="I34" s="1">
        <v>8</v>
      </c>
      <c r="J34" s="1">
        <v>8</v>
      </c>
      <c r="K34" s="1">
        <v>78</v>
      </c>
      <c r="L34" s="1">
        <v>68</v>
      </c>
      <c r="M34" s="1" t="s">
        <v>12</v>
      </c>
      <c r="O34" t="str">
        <f t="shared" si="0"/>
        <v>update squaregridwinners set WinningTeam = 10, LosingTeam = 64 where BusinessUnit = 'PCDWBA' and YearPick = 2024 and EventType = 6 and PoolNbr = 1 and Quarter = 2 and SeqNo = 1;</v>
      </c>
    </row>
    <row r="35" spans="1:15" x14ac:dyDescent="0.3">
      <c r="A35" t="s">
        <v>11</v>
      </c>
      <c r="B35" s="1">
        <v>2024</v>
      </c>
      <c r="C35" s="1">
        <v>6</v>
      </c>
      <c r="D35" s="1">
        <v>1</v>
      </c>
      <c r="E35" s="1">
        <v>2</v>
      </c>
      <c r="F35" s="1">
        <v>2</v>
      </c>
      <c r="G35" s="1">
        <v>101</v>
      </c>
      <c r="H35" s="1">
        <v>128</v>
      </c>
      <c r="I35" s="1">
        <v>9</v>
      </c>
      <c r="J35" s="1">
        <v>8</v>
      </c>
      <c r="K35" s="1">
        <v>89</v>
      </c>
      <c r="L35" s="1">
        <v>68</v>
      </c>
      <c r="M35" s="1" t="s">
        <v>12</v>
      </c>
      <c r="O35" t="str">
        <f t="shared" si="0"/>
        <v>update squaregridwinners set WinningTeam = 101, LosingTeam = 128 where BusinessUnit = 'PCDWBA' and YearPick = 2024 and EventType = 6 and PoolNbr = 1 and Quarter = 2 and SeqNo = 2;</v>
      </c>
    </row>
    <row r="36" spans="1:15" x14ac:dyDescent="0.3">
      <c r="A36" t="s">
        <v>11</v>
      </c>
      <c r="B36" s="1">
        <v>2024</v>
      </c>
      <c r="C36" s="1">
        <v>6</v>
      </c>
      <c r="D36" s="1">
        <v>1</v>
      </c>
      <c r="E36" s="1">
        <v>2</v>
      </c>
      <c r="F36" s="1">
        <v>3</v>
      </c>
      <c r="G36" s="1">
        <v>186</v>
      </c>
      <c r="H36" s="1">
        <v>161</v>
      </c>
      <c r="I36" s="1">
        <v>5</v>
      </c>
      <c r="J36" s="1">
        <v>9</v>
      </c>
      <c r="K36" s="1">
        <v>85</v>
      </c>
      <c r="L36" s="1">
        <v>69</v>
      </c>
      <c r="M36" s="1" t="s">
        <v>12</v>
      </c>
      <c r="O36" t="str">
        <f t="shared" si="0"/>
        <v>update squaregridwinners set WinningTeam = 186, LosingTeam = 161 where BusinessUnit = 'PCDWBA' and YearPick = 2024 and EventType = 6 and PoolNbr = 1 and Quarter = 2 and SeqNo = 3;</v>
      </c>
    </row>
    <row r="37" spans="1:15" x14ac:dyDescent="0.3">
      <c r="A37" t="s">
        <v>11</v>
      </c>
      <c r="B37" s="1">
        <v>2024</v>
      </c>
      <c r="C37" s="1">
        <v>6</v>
      </c>
      <c r="D37" s="1">
        <v>1</v>
      </c>
      <c r="E37" s="1">
        <v>2</v>
      </c>
      <c r="F37" s="1">
        <v>4</v>
      </c>
      <c r="G37" s="1">
        <v>121</v>
      </c>
      <c r="H37" s="1">
        <v>324</v>
      </c>
      <c r="I37" s="1">
        <v>7</v>
      </c>
      <c r="J37" s="1">
        <v>6</v>
      </c>
      <c r="K37" s="1">
        <v>67</v>
      </c>
      <c r="L37" s="1">
        <v>56</v>
      </c>
      <c r="M37" s="1" t="s">
        <v>12</v>
      </c>
      <c r="O37" t="str">
        <f t="shared" si="0"/>
        <v>update squaregridwinners set WinningTeam = 121, LosingTeam = 324 where BusinessUnit = 'PCDWBA' and YearPick = 2024 and EventType = 6 and PoolNbr = 1 and Quarter = 2 and SeqNo = 4;</v>
      </c>
    </row>
    <row r="38" spans="1:15" x14ac:dyDescent="0.3">
      <c r="A38" t="s">
        <v>11</v>
      </c>
      <c r="B38" s="1">
        <v>2024</v>
      </c>
      <c r="C38" s="1">
        <v>6</v>
      </c>
      <c r="D38" s="1">
        <v>1</v>
      </c>
      <c r="E38" s="1">
        <v>2</v>
      </c>
      <c r="F38" s="1">
        <v>5</v>
      </c>
      <c r="G38" s="1">
        <v>191</v>
      </c>
      <c r="H38" s="1">
        <v>202</v>
      </c>
      <c r="I38" s="1">
        <v>9</v>
      </c>
      <c r="J38" s="1">
        <v>3</v>
      </c>
      <c r="K38" s="1">
        <v>79</v>
      </c>
      <c r="L38" s="1">
        <v>73</v>
      </c>
      <c r="M38" s="1" t="s">
        <v>12</v>
      </c>
      <c r="O38" t="str">
        <f t="shared" si="0"/>
        <v>update squaregridwinners set WinningTeam = 191, LosingTeam = 202 where BusinessUnit = 'PCDWBA' and YearPick = 2024 and EventType = 6 and PoolNbr = 1 and Quarter = 2 and SeqNo = 5;</v>
      </c>
    </row>
    <row r="39" spans="1:15" x14ac:dyDescent="0.3">
      <c r="A39" t="s">
        <v>11</v>
      </c>
      <c r="B39" s="1">
        <v>2024</v>
      </c>
      <c r="C39" s="1">
        <v>6</v>
      </c>
      <c r="D39" s="1">
        <v>1</v>
      </c>
      <c r="E39" s="1">
        <v>2</v>
      </c>
      <c r="F39" s="1">
        <v>6</v>
      </c>
      <c r="G39" s="1">
        <v>269</v>
      </c>
      <c r="H39" s="1">
        <v>273</v>
      </c>
      <c r="I39" s="1">
        <v>2</v>
      </c>
      <c r="J39" s="1">
        <v>8</v>
      </c>
      <c r="K39" s="1">
        <v>62</v>
      </c>
      <c r="L39" s="1">
        <v>58</v>
      </c>
      <c r="M39" s="1" t="s">
        <v>12</v>
      </c>
      <c r="O39" t="str">
        <f t="shared" si="0"/>
        <v>update squaregridwinners set WinningTeam = 269, LosingTeam = 273 where BusinessUnit = 'PCDWBA' and YearPick = 2024 and EventType = 6 and PoolNbr = 1 and Quarter = 2 and SeqNo = 6;</v>
      </c>
    </row>
    <row r="40" spans="1:15" x14ac:dyDescent="0.3">
      <c r="A40" t="s">
        <v>11</v>
      </c>
      <c r="B40" s="1">
        <v>2024</v>
      </c>
      <c r="C40" s="1">
        <v>6</v>
      </c>
      <c r="D40" s="1">
        <v>1</v>
      </c>
      <c r="E40" s="1">
        <v>2</v>
      </c>
      <c r="F40" s="1">
        <v>7</v>
      </c>
      <c r="G40" s="1">
        <v>115</v>
      </c>
      <c r="H40" s="1">
        <v>73</v>
      </c>
      <c r="I40" s="1">
        <v>9</v>
      </c>
      <c r="J40" s="1">
        <v>3</v>
      </c>
      <c r="K40" s="1">
        <v>89</v>
      </c>
      <c r="L40" s="1">
        <v>63</v>
      </c>
      <c r="M40" s="1" t="s">
        <v>12</v>
      </c>
      <c r="O40" t="str">
        <f t="shared" si="0"/>
        <v>update squaregridwinners set WinningTeam = 115, LosingTeam = 73 where BusinessUnit = 'PCDWBA' and YearPick = 2024 and EventType = 6 and PoolNbr = 1 and Quarter = 2 and SeqNo = 7;</v>
      </c>
    </row>
    <row r="41" spans="1:15" x14ac:dyDescent="0.3">
      <c r="A41" t="s">
        <v>11</v>
      </c>
      <c r="B41" s="1">
        <v>2024</v>
      </c>
      <c r="C41" s="1">
        <v>6</v>
      </c>
      <c r="D41" s="1">
        <v>1</v>
      </c>
      <c r="E41" s="1">
        <v>2</v>
      </c>
      <c r="F41" s="1">
        <v>8</v>
      </c>
      <c r="G41" s="1">
        <v>61</v>
      </c>
      <c r="H41" s="1">
        <v>209</v>
      </c>
      <c r="I41" s="1">
        <v>6</v>
      </c>
      <c r="J41" s="1">
        <v>3</v>
      </c>
      <c r="K41" s="1">
        <v>86</v>
      </c>
      <c r="L41" s="1">
        <v>73</v>
      </c>
      <c r="M41" s="1" t="s">
        <v>12</v>
      </c>
      <c r="O41" t="str">
        <f t="shared" si="0"/>
        <v>update squaregridwinners set WinningTeam = 61, LosingTeam = 209 where BusinessUnit = 'PCDWBA' and YearPick = 2024 and EventType = 6 and PoolNbr = 1 and Quarter = 2 and SeqNo = 8;</v>
      </c>
    </row>
    <row r="42" spans="1:15" x14ac:dyDescent="0.3">
      <c r="A42" t="s">
        <v>11</v>
      </c>
      <c r="B42" s="1">
        <v>2024</v>
      </c>
      <c r="C42" s="1">
        <v>6</v>
      </c>
      <c r="D42" s="1">
        <v>1</v>
      </c>
      <c r="E42" s="1">
        <v>2</v>
      </c>
      <c r="F42" s="1">
        <v>9</v>
      </c>
      <c r="G42" s="1">
        <v>152</v>
      </c>
      <c r="H42" s="1">
        <v>55</v>
      </c>
      <c r="I42" s="1">
        <v>1</v>
      </c>
      <c r="J42" s="1">
        <v>7</v>
      </c>
      <c r="K42" s="1">
        <v>81</v>
      </c>
      <c r="L42" s="1">
        <v>77</v>
      </c>
      <c r="M42" s="1" t="s">
        <v>12</v>
      </c>
      <c r="O42" t="str">
        <f t="shared" si="0"/>
        <v>update squaregridwinners set WinningTeam = 152, LosingTeam = 55 where BusinessUnit = 'PCDWBA' and YearPick = 2024 and EventType = 6 and PoolNbr = 1 and Quarter = 2 and SeqNo = 9;</v>
      </c>
    </row>
    <row r="43" spans="1:15" x14ac:dyDescent="0.3">
      <c r="A43" t="s">
        <v>11</v>
      </c>
      <c r="B43" s="1">
        <v>2024</v>
      </c>
      <c r="C43" s="1">
        <v>6</v>
      </c>
      <c r="D43" s="1">
        <v>1</v>
      </c>
      <c r="E43" s="1">
        <v>2</v>
      </c>
      <c r="F43" s="1">
        <v>10</v>
      </c>
      <c r="G43" s="1">
        <v>222</v>
      </c>
      <c r="H43" s="1">
        <v>312</v>
      </c>
      <c r="I43" s="1">
        <v>6</v>
      </c>
      <c r="J43" s="1">
        <v>7</v>
      </c>
      <c r="K43" s="1">
        <v>106</v>
      </c>
      <c r="L43" s="1">
        <v>67</v>
      </c>
      <c r="M43" s="1" t="s">
        <v>12</v>
      </c>
      <c r="O43" t="str">
        <f t="shared" si="0"/>
        <v>update squaregridwinners set WinningTeam = 222, LosingTeam = 312 where BusinessUnit = 'PCDWBA' and YearPick = 2024 and EventType = 6 and PoolNbr = 1 and Quarter = 2 and SeqNo = 10;</v>
      </c>
    </row>
    <row r="44" spans="1:15" x14ac:dyDescent="0.3">
      <c r="A44" t="s">
        <v>11</v>
      </c>
      <c r="B44" s="1">
        <v>2024</v>
      </c>
      <c r="C44" s="1">
        <v>6</v>
      </c>
      <c r="D44" s="1">
        <v>1</v>
      </c>
      <c r="E44" s="1">
        <v>2</v>
      </c>
      <c r="F44" s="1">
        <v>11</v>
      </c>
      <c r="G44" s="1">
        <v>72</v>
      </c>
      <c r="H44" s="1">
        <v>127</v>
      </c>
      <c r="I44" s="1">
        <v>3</v>
      </c>
      <c r="J44" s="1">
        <v>5</v>
      </c>
      <c r="K44" s="1">
        <v>93</v>
      </c>
      <c r="L44" s="1">
        <v>55</v>
      </c>
      <c r="M44" s="1" t="s">
        <v>12</v>
      </c>
      <c r="O44" t="str">
        <f t="shared" si="0"/>
        <v>update squaregridwinners set WinningTeam = 72, LosingTeam = 127 where BusinessUnit = 'PCDWBA' and YearPick = 2024 and EventType = 6 and PoolNbr = 1 and Quarter = 2 and SeqNo = 11;</v>
      </c>
    </row>
    <row r="45" spans="1:15" x14ac:dyDescent="0.3">
      <c r="A45" t="s">
        <v>11</v>
      </c>
      <c r="B45" s="1">
        <v>2024</v>
      </c>
      <c r="C45" s="1">
        <v>6</v>
      </c>
      <c r="D45" s="1">
        <v>1</v>
      </c>
      <c r="E45" s="1">
        <v>2</v>
      </c>
      <c r="F45" s="1">
        <v>12</v>
      </c>
      <c r="G45" s="1">
        <v>50</v>
      </c>
      <c r="H45" s="1">
        <v>19</v>
      </c>
      <c r="I45" s="1">
        <v>2</v>
      </c>
      <c r="J45" s="1">
        <v>4</v>
      </c>
      <c r="K45" s="1">
        <v>72</v>
      </c>
      <c r="L45" s="1">
        <v>64</v>
      </c>
      <c r="M45" s="1" t="s">
        <v>12</v>
      </c>
      <c r="O45" t="str">
        <f t="shared" si="0"/>
        <v>update squaregridwinners set WinningTeam = 50, LosingTeam = 19 where BusinessUnit = 'PCDWBA' and YearPick = 2024 and EventType = 6 and PoolNbr = 1 and Quarter = 2 and SeqNo = 12;</v>
      </c>
    </row>
    <row r="46" spans="1:15" x14ac:dyDescent="0.3">
      <c r="A46" t="s">
        <v>11</v>
      </c>
      <c r="B46" s="1">
        <v>2024</v>
      </c>
      <c r="C46" s="1">
        <v>6</v>
      </c>
      <c r="D46" s="1">
        <v>1</v>
      </c>
      <c r="E46" s="1">
        <v>2</v>
      </c>
      <c r="F46" s="1">
        <v>13</v>
      </c>
      <c r="G46" s="1">
        <v>3</v>
      </c>
      <c r="H46" s="1">
        <v>363</v>
      </c>
      <c r="I46" s="1">
        <v>2</v>
      </c>
      <c r="J46" s="1">
        <v>1</v>
      </c>
      <c r="K46" s="1">
        <v>72</v>
      </c>
      <c r="L46" s="1">
        <v>61</v>
      </c>
      <c r="M46" s="1" t="s">
        <v>12</v>
      </c>
      <c r="O46" t="str">
        <f t="shared" si="0"/>
        <v>update squaregridwinners set WinningTeam = 3, LosingTeam = 363 where BusinessUnit = 'PCDWBA' and YearPick = 2024 and EventType = 6 and PoolNbr = 1 and Quarter = 2 and SeqNo = 13;</v>
      </c>
    </row>
    <row r="47" spans="1:15" x14ac:dyDescent="0.3">
      <c r="A47" t="s">
        <v>11</v>
      </c>
      <c r="B47" s="1">
        <v>2024</v>
      </c>
      <c r="C47" s="1">
        <v>6</v>
      </c>
      <c r="D47" s="1">
        <v>1</v>
      </c>
      <c r="E47" s="1">
        <v>2</v>
      </c>
      <c r="F47" s="1">
        <v>14</v>
      </c>
      <c r="G47" s="1">
        <v>58</v>
      </c>
      <c r="H47" s="1">
        <v>199</v>
      </c>
      <c r="I47" s="1">
        <v>5</v>
      </c>
      <c r="J47" s="1">
        <v>8</v>
      </c>
      <c r="K47" s="1">
        <v>75</v>
      </c>
      <c r="L47" s="1">
        <v>58</v>
      </c>
      <c r="M47" s="1" t="s">
        <v>12</v>
      </c>
      <c r="O47" t="str">
        <f t="shared" si="0"/>
        <v>update squaregridwinners set WinningTeam = 58, LosingTeam = 199 where BusinessUnit = 'PCDWBA' and YearPick = 2024 and EventType = 6 and PoolNbr = 1 and Quarter = 2 and SeqNo = 14;</v>
      </c>
    </row>
    <row r="48" spans="1:15" x14ac:dyDescent="0.3">
      <c r="A48" t="s">
        <v>11</v>
      </c>
      <c r="B48" s="1">
        <v>2024</v>
      </c>
      <c r="C48" s="1">
        <v>6</v>
      </c>
      <c r="D48" s="1">
        <v>1</v>
      </c>
      <c r="E48" s="1">
        <v>2</v>
      </c>
      <c r="F48" s="1">
        <v>15</v>
      </c>
      <c r="G48" s="1">
        <v>111</v>
      </c>
      <c r="H48" s="1">
        <v>274</v>
      </c>
      <c r="I48" s="1">
        <v>0</v>
      </c>
      <c r="J48" s="1">
        <v>5</v>
      </c>
      <c r="K48" s="1">
        <v>100</v>
      </c>
      <c r="L48" s="1">
        <v>95</v>
      </c>
      <c r="M48" s="1" t="s">
        <v>12</v>
      </c>
      <c r="O48" t="str">
        <f t="shared" si="0"/>
        <v>update squaregridwinners set WinningTeam = 111, LosingTeam = 274 where BusinessUnit = 'PCDWBA' and YearPick = 2024 and EventType = 6 and PoolNbr = 1 and Quarter = 2 and SeqNo = 15;</v>
      </c>
    </row>
    <row r="49" spans="1:15" x14ac:dyDescent="0.3">
      <c r="A49" t="s">
        <v>11</v>
      </c>
      <c r="B49" s="1">
        <v>2024</v>
      </c>
      <c r="C49" s="1">
        <v>6</v>
      </c>
      <c r="D49" s="1">
        <v>1</v>
      </c>
      <c r="E49" s="1">
        <v>2</v>
      </c>
      <c r="F49" s="1">
        <v>16</v>
      </c>
      <c r="G49" s="1">
        <v>241</v>
      </c>
      <c r="H49" s="1">
        <v>340</v>
      </c>
      <c r="I49" s="1">
        <v>5</v>
      </c>
      <c r="J49" s="1">
        <v>7</v>
      </c>
      <c r="K49" s="1">
        <v>85</v>
      </c>
      <c r="L49" s="1">
        <v>57</v>
      </c>
      <c r="M49" s="1" t="s">
        <v>12</v>
      </c>
      <c r="O49" t="str">
        <f t="shared" si="0"/>
        <v>update squaregridwinners set WinningTeam = 241, LosingTeam = 340 where BusinessUnit = 'PCDWBA' and YearPick = 2024 and EventType = 6 and PoolNbr = 1 and Quarter = 2 and SeqNo = 16;</v>
      </c>
    </row>
    <row r="50" spans="1:15" x14ac:dyDescent="0.3">
      <c r="A50" t="s">
        <v>11</v>
      </c>
      <c r="B50" s="1">
        <v>2024</v>
      </c>
      <c r="C50" s="1">
        <v>6</v>
      </c>
      <c r="D50" s="1">
        <v>1</v>
      </c>
      <c r="E50" s="1">
        <v>3</v>
      </c>
      <c r="F50" s="1">
        <v>1</v>
      </c>
      <c r="G50" s="1">
        <v>50</v>
      </c>
      <c r="H50" s="1">
        <v>10</v>
      </c>
      <c r="I50" s="1">
        <f>MOD(K50,10)</f>
        <v>7</v>
      </c>
      <c r="J50" s="1">
        <f>MOD(L50,10)</f>
        <v>2</v>
      </c>
      <c r="K50" s="1">
        <v>77</v>
      </c>
      <c r="L50" s="1">
        <v>72</v>
      </c>
      <c r="M50" s="1" t="s">
        <v>12</v>
      </c>
      <c r="O50" t="str">
        <f t="shared" si="0"/>
        <v>update squaregridwinners set WinningTeam = 50, LosingTeam = 10 where BusinessUnit = 'PCDWBA' and YearPick = 2024 and EventType = 6 and PoolNbr = 1 and Quarter = 3 and SeqNo = 1;</v>
      </c>
    </row>
    <row r="51" spans="1:15" x14ac:dyDescent="0.3">
      <c r="A51" t="s">
        <v>11</v>
      </c>
      <c r="B51" s="1">
        <v>2024</v>
      </c>
      <c r="C51" s="1">
        <v>6</v>
      </c>
      <c r="D51" s="1">
        <v>1</v>
      </c>
      <c r="E51" s="1">
        <v>3</v>
      </c>
      <c r="F51" s="1">
        <v>2</v>
      </c>
      <c r="G51" s="1">
        <v>58</v>
      </c>
      <c r="H51" s="1">
        <v>241</v>
      </c>
      <c r="I51" s="1">
        <f t="shared" ref="I51:I57" si="1">MOD(K51,10)</f>
        <v>2</v>
      </c>
      <c r="J51" s="1">
        <f t="shared" ref="J51:J57" si="2">MOD(L51,10)</f>
        <v>2</v>
      </c>
      <c r="K51" s="1">
        <v>82</v>
      </c>
      <c r="L51" s="1">
        <v>52</v>
      </c>
      <c r="M51" s="1" t="s">
        <v>12</v>
      </c>
      <c r="O51" t="str">
        <f t="shared" si="0"/>
        <v>update squaregridwinners set WinningTeam = 58, LosingTeam = 241 where BusinessUnit = 'PCDWBA' and YearPick = 2024 and EventType = 6 and PoolNbr = 1 and Quarter = 3 and SeqNo = 2;</v>
      </c>
    </row>
    <row r="52" spans="1:15" x14ac:dyDescent="0.3">
      <c r="A52" t="s">
        <v>11</v>
      </c>
      <c r="B52" s="1">
        <v>2024</v>
      </c>
      <c r="C52" s="1">
        <v>6</v>
      </c>
      <c r="D52" s="1">
        <v>1</v>
      </c>
      <c r="E52" s="1">
        <v>3</v>
      </c>
      <c r="F52" s="1">
        <v>3</v>
      </c>
      <c r="G52" s="1">
        <v>3</v>
      </c>
      <c r="H52" s="1">
        <v>188</v>
      </c>
      <c r="I52" s="1">
        <f t="shared" si="1"/>
        <v>9</v>
      </c>
      <c r="J52" s="1">
        <f t="shared" si="2"/>
        <v>7</v>
      </c>
      <c r="K52" s="1">
        <v>89</v>
      </c>
      <c r="L52" s="1">
        <v>87</v>
      </c>
      <c r="M52" s="1" t="s">
        <v>12</v>
      </c>
      <c r="O52" t="str">
        <f t="shared" si="0"/>
        <v>update squaregridwinners set WinningTeam = 3, LosingTeam = 188 where BusinessUnit = 'PCDWBA' and YearPick = 2024 and EventType = 6 and PoolNbr = 1 and Quarter = 3 and SeqNo = 3;</v>
      </c>
    </row>
    <row r="53" spans="1:15" x14ac:dyDescent="0.3">
      <c r="A53" t="s">
        <v>11</v>
      </c>
      <c r="B53" s="1">
        <v>2024</v>
      </c>
      <c r="C53" s="1">
        <v>6</v>
      </c>
      <c r="D53" s="1">
        <v>1</v>
      </c>
      <c r="E53" s="1">
        <v>3</v>
      </c>
      <c r="F53" s="1">
        <v>4</v>
      </c>
      <c r="G53" s="1">
        <v>115</v>
      </c>
      <c r="H53" s="1">
        <v>121</v>
      </c>
      <c r="I53" s="1">
        <f t="shared" si="1"/>
        <v>2</v>
      </c>
      <c r="J53" s="1">
        <f t="shared" si="2"/>
        <v>9</v>
      </c>
      <c r="K53" s="1">
        <v>72</v>
      </c>
      <c r="L53" s="1">
        <v>69</v>
      </c>
      <c r="M53" s="1" t="s">
        <v>12</v>
      </c>
      <c r="O53" t="str">
        <f t="shared" si="0"/>
        <v>update squaregridwinners set WinningTeam = 115, LosingTeam = 121 where BusinessUnit = 'PCDWBA' and YearPick = 2024 and EventType = 6 and PoolNbr = 1 and Quarter = 3 and SeqNo = 4;</v>
      </c>
    </row>
    <row r="54" spans="1:15" x14ac:dyDescent="0.3">
      <c r="A54" t="s">
        <v>11</v>
      </c>
      <c r="B54" s="1">
        <v>2024</v>
      </c>
      <c r="C54" s="1">
        <v>6</v>
      </c>
      <c r="D54" s="1">
        <v>1</v>
      </c>
      <c r="E54" s="1">
        <v>3</v>
      </c>
      <c r="F54" s="1">
        <v>5</v>
      </c>
      <c r="G54" s="1">
        <v>191</v>
      </c>
      <c r="H54" s="1">
        <v>152</v>
      </c>
      <c r="I54" s="1">
        <f t="shared" si="1"/>
        <v>7</v>
      </c>
      <c r="J54" s="1">
        <f t="shared" si="2"/>
        <v>8</v>
      </c>
      <c r="K54" s="1">
        <v>67</v>
      </c>
      <c r="L54" s="1">
        <v>58</v>
      </c>
      <c r="M54" s="1" t="s">
        <v>12</v>
      </c>
      <c r="O54" t="str">
        <f t="shared" ref="O54:O63" si="3">CONCATENATE("insert into squaregridwinners values ('",A54,"',",B54,",",C54,",",D54,",",E54,",",F54,",",G54,",",H54,",",I54,",",J54,",",K54,",",L54,",'",M54,"');")</f>
        <v>insert into squaregridwinners values ('PCDWBA',2024,6,1,3,5,191,152,7,8,67,58,'Y');</v>
      </c>
    </row>
    <row r="55" spans="1:15" x14ac:dyDescent="0.3">
      <c r="A55" t="s">
        <v>11</v>
      </c>
      <c r="B55" s="1">
        <v>2024</v>
      </c>
      <c r="C55" s="1">
        <v>6</v>
      </c>
      <c r="D55" s="1">
        <v>1</v>
      </c>
      <c r="E55" s="1">
        <v>3</v>
      </c>
      <c r="F55" s="1">
        <v>6</v>
      </c>
      <c r="G55" s="1">
        <v>222</v>
      </c>
      <c r="H55" s="1">
        <v>101</v>
      </c>
      <c r="I55" s="1">
        <f t="shared" si="1"/>
        <v>0</v>
      </c>
      <c r="J55" s="1">
        <f t="shared" si="2"/>
        <v>8</v>
      </c>
      <c r="K55" s="1">
        <v>80</v>
      </c>
      <c r="L55" s="1">
        <v>68</v>
      </c>
      <c r="M55" s="1" t="s">
        <v>12</v>
      </c>
      <c r="O55" t="str">
        <f t="shared" si="3"/>
        <v>insert into squaregridwinners values ('PCDWBA',2024,6,1,3,6,222,101,0,8,80,68,'Y');</v>
      </c>
    </row>
    <row r="56" spans="1:15" x14ac:dyDescent="0.3">
      <c r="A56" t="s">
        <v>11</v>
      </c>
      <c r="B56" s="1">
        <v>2024</v>
      </c>
      <c r="C56" s="1">
        <v>6</v>
      </c>
      <c r="D56" s="1">
        <v>1</v>
      </c>
      <c r="E56" s="1">
        <v>3</v>
      </c>
      <c r="F56" s="1">
        <v>7</v>
      </c>
      <c r="G56" s="1">
        <v>72</v>
      </c>
      <c r="H56" s="1">
        <v>111</v>
      </c>
      <c r="I56" s="1">
        <f t="shared" si="1"/>
        <v>4</v>
      </c>
      <c r="J56" s="1">
        <f t="shared" si="2"/>
        <v>1</v>
      </c>
      <c r="K56" s="1">
        <v>54</v>
      </c>
      <c r="L56" s="1">
        <v>51</v>
      </c>
      <c r="M56" s="1" t="s">
        <v>12</v>
      </c>
      <c r="O56" t="str">
        <f t="shared" si="3"/>
        <v>insert into squaregridwinners values ('PCDWBA',2024,6,1,3,7,72,111,4,1,54,51,'Y');</v>
      </c>
    </row>
    <row r="57" spans="1:15" x14ac:dyDescent="0.3">
      <c r="A57" t="s">
        <v>11</v>
      </c>
      <c r="B57" s="1">
        <v>2024</v>
      </c>
      <c r="C57" s="1">
        <v>6</v>
      </c>
      <c r="D57" s="1">
        <v>1</v>
      </c>
      <c r="E57" s="1">
        <v>3</v>
      </c>
      <c r="F57" s="1">
        <v>8</v>
      </c>
      <c r="G57" s="1">
        <v>269</v>
      </c>
      <c r="H57" s="1">
        <v>61</v>
      </c>
      <c r="I57" s="1">
        <f t="shared" si="1"/>
        <v>2</v>
      </c>
      <c r="J57" s="1">
        <f t="shared" si="2"/>
        <v>5</v>
      </c>
      <c r="K57" s="1">
        <v>82</v>
      </c>
      <c r="L57" s="1">
        <v>75</v>
      </c>
      <c r="M57" s="1" t="s">
        <v>12</v>
      </c>
      <c r="O57" t="str">
        <f t="shared" si="3"/>
        <v>insert into squaregridwinners values ('PCDWBA',2024,6,1,3,8,269,61,2,5,82,75,'Y');</v>
      </c>
    </row>
    <row r="58" spans="1:15" x14ac:dyDescent="0.3">
      <c r="A58" t="s">
        <v>11</v>
      </c>
      <c r="B58" s="1">
        <v>2024</v>
      </c>
      <c r="C58" s="1">
        <v>6</v>
      </c>
      <c r="D58" s="1">
        <v>1</v>
      </c>
      <c r="E58" s="1">
        <v>4</v>
      </c>
      <c r="F58" s="1">
        <v>1</v>
      </c>
      <c r="G58" s="1">
        <v>58</v>
      </c>
      <c r="H58" s="1">
        <v>115</v>
      </c>
      <c r="I58" s="1">
        <f>MOD(K58,10)</f>
        <v>7</v>
      </c>
      <c r="J58" s="1">
        <f>MOD(L58,10)</f>
        <v>2</v>
      </c>
      <c r="K58" s="1">
        <v>77</v>
      </c>
      <c r="L58" s="1">
        <v>52</v>
      </c>
      <c r="M58" s="1" t="s">
        <v>12</v>
      </c>
      <c r="O58" t="str">
        <f t="shared" si="3"/>
        <v>insert into squaregridwinners values ('PCDWBA',2024,6,1,4,1,58,115,7,2,77,52,'Y');</v>
      </c>
    </row>
    <row r="59" spans="1:15" x14ac:dyDescent="0.3">
      <c r="A59" t="s">
        <v>11</v>
      </c>
      <c r="B59" s="1">
        <v>2024</v>
      </c>
      <c r="C59" s="1">
        <v>6</v>
      </c>
      <c r="D59" s="1">
        <v>1</v>
      </c>
      <c r="E59" s="1">
        <v>4</v>
      </c>
      <c r="F59" s="1">
        <v>2</v>
      </c>
      <c r="G59" s="1">
        <v>3</v>
      </c>
      <c r="H59" s="1">
        <v>50</v>
      </c>
      <c r="I59" s="1">
        <f t="shared" ref="I59:I61" si="4">MOD(K59,10)</f>
        <v>9</v>
      </c>
      <c r="J59" s="1">
        <f t="shared" ref="J59:J61" si="5">MOD(L59,10)</f>
        <v>2</v>
      </c>
      <c r="K59" s="1">
        <v>89</v>
      </c>
      <c r="L59" s="1">
        <v>82</v>
      </c>
      <c r="M59" s="1" t="s">
        <v>12</v>
      </c>
      <c r="O59" t="str">
        <f t="shared" si="3"/>
        <v>insert into squaregridwinners values ('PCDWBA',2024,6,1,4,2,3,50,9,2,89,82,'Y');</v>
      </c>
    </row>
    <row r="60" spans="1:15" x14ac:dyDescent="0.3">
      <c r="A60" t="s">
        <v>11</v>
      </c>
      <c r="B60" s="1">
        <v>2024</v>
      </c>
      <c r="C60" s="1">
        <v>6</v>
      </c>
      <c r="D60" s="1">
        <v>1</v>
      </c>
      <c r="E60" s="1">
        <v>4</v>
      </c>
      <c r="F60" s="1">
        <v>3</v>
      </c>
      <c r="G60" s="1">
        <v>222</v>
      </c>
      <c r="H60" s="1">
        <v>269</v>
      </c>
      <c r="I60" s="1">
        <f t="shared" si="4"/>
        <v>2</v>
      </c>
      <c r="J60" s="1">
        <f t="shared" si="5"/>
        <v>6</v>
      </c>
      <c r="K60" s="1">
        <v>72</v>
      </c>
      <c r="L60" s="1">
        <v>66</v>
      </c>
      <c r="M60" s="1" t="s">
        <v>12</v>
      </c>
      <c r="O60" t="str">
        <f t="shared" si="3"/>
        <v>insert into squaregridwinners values ('PCDWBA',2024,6,1,4,3,222,269,2,6,72,66,'Y');</v>
      </c>
    </row>
    <row r="61" spans="1:15" x14ac:dyDescent="0.3">
      <c r="A61" t="s">
        <v>11</v>
      </c>
      <c r="B61" s="1">
        <v>2024</v>
      </c>
      <c r="C61" s="1">
        <v>6</v>
      </c>
      <c r="D61" s="1">
        <v>1</v>
      </c>
      <c r="E61" s="1">
        <v>4</v>
      </c>
      <c r="F61" s="1">
        <v>4</v>
      </c>
      <c r="G61" s="1">
        <v>191</v>
      </c>
      <c r="H61" s="1">
        <v>72</v>
      </c>
      <c r="I61" s="1">
        <f t="shared" si="4"/>
        <v>6</v>
      </c>
      <c r="J61" s="1">
        <f t="shared" si="5"/>
        <v>4</v>
      </c>
      <c r="K61" s="1">
        <v>76</v>
      </c>
      <c r="L61" s="1">
        <v>64</v>
      </c>
      <c r="M61" s="1" t="s">
        <v>12</v>
      </c>
      <c r="O61" t="str">
        <f t="shared" si="3"/>
        <v>insert into squaregridwinners values ('PCDWBA',2024,6,1,4,4,191,72,6,4,76,64,'Y');</v>
      </c>
    </row>
    <row r="62" spans="1:15" x14ac:dyDescent="0.3">
      <c r="A62" t="s">
        <v>11</v>
      </c>
      <c r="B62" s="1">
        <v>2024</v>
      </c>
      <c r="C62" s="1">
        <v>6</v>
      </c>
      <c r="D62" s="1">
        <v>1</v>
      </c>
      <c r="E62" s="1">
        <v>5</v>
      </c>
      <c r="F62" s="1">
        <v>1</v>
      </c>
      <c r="G62" s="1">
        <v>222</v>
      </c>
      <c r="H62" s="1">
        <v>191</v>
      </c>
      <c r="I62" s="1">
        <f>MOD(K62,10)</f>
        <v>3</v>
      </c>
      <c r="J62" s="1">
        <f>MOD(L62,10)</f>
        <v>0</v>
      </c>
      <c r="K62" s="1">
        <v>63</v>
      </c>
      <c r="L62" s="1">
        <v>50</v>
      </c>
      <c r="M62" s="1" t="s">
        <v>12</v>
      </c>
      <c r="O62" t="str">
        <f t="shared" si="3"/>
        <v>insert into squaregridwinners values ('PCDWBA',2024,6,1,5,1,222,191,3,0,63,50,'Y');</v>
      </c>
    </row>
    <row r="63" spans="1:15" x14ac:dyDescent="0.3">
      <c r="A63" t="s">
        <v>11</v>
      </c>
      <c r="B63" s="1">
        <v>2024</v>
      </c>
      <c r="C63" s="1">
        <v>6</v>
      </c>
      <c r="D63" s="1">
        <v>1</v>
      </c>
      <c r="E63" s="1">
        <v>5</v>
      </c>
      <c r="F63" s="1">
        <v>2</v>
      </c>
      <c r="G63" s="1">
        <v>58</v>
      </c>
      <c r="H63" s="1">
        <v>3</v>
      </c>
      <c r="I63" s="1">
        <f t="shared" ref="I63" si="6">MOD(K63,10)</f>
        <v>6</v>
      </c>
      <c r="J63" s="1">
        <f t="shared" ref="J63" si="7">MOD(L63,10)</f>
        <v>2</v>
      </c>
      <c r="K63" s="1">
        <v>86</v>
      </c>
      <c r="L63" s="1">
        <v>72</v>
      </c>
      <c r="M63" s="1" t="s">
        <v>12</v>
      </c>
      <c r="O63" t="str">
        <f t="shared" si="3"/>
        <v>insert into squaregridwinners values ('PCDWBA',2024,6,1,5,2,58,3,6,2,86,72,'Y');</v>
      </c>
    </row>
    <row r="64" spans="1:15" x14ac:dyDescent="0.3">
      <c r="A64" t="s">
        <v>11</v>
      </c>
      <c r="B64" s="1">
        <v>2024</v>
      </c>
      <c r="C64" s="1">
        <v>6</v>
      </c>
      <c r="D64" s="1">
        <v>1</v>
      </c>
      <c r="E64" s="1">
        <v>6</v>
      </c>
      <c r="F64" s="1">
        <v>1</v>
      </c>
      <c r="G64" s="1">
        <v>58</v>
      </c>
      <c r="H64" s="1">
        <v>222</v>
      </c>
      <c r="I64" s="1">
        <f>MOD(K64,10)</f>
        <v>5</v>
      </c>
      <c r="J64" s="1">
        <f>MOD(L64,10)</f>
        <v>0</v>
      </c>
      <c r="K64" s="1">
        <v>75</v>
      </c>
      <c r="L64" s="1">
        <v>60</v>
      </c>
      <c r="M64" s="1" t="s">
        <v>12</v>
      </c>
      <c r="O64" t="str">
        <f t="shared" ref="O64" si="8">CONCATENATE("insert into squaregridwinners values ('",A64,"',",B64,",",C64,",",D64,",",E64,",",F64,",",G64,",",H64,",",I64,",",J64,",",K64,",",L64,",'",M64,"');")</f>
        <v>insert into squaregridwinners values ('PCDWBA',2024,6,1,6,1,58,222,5,0,75,60,'Y');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AA29C-5202-4F81-9110-D1ECC7513642}">
  <dimension ref="A1:O64"/>
  <sheetViews>
    <sheetView topLeftCell="C46" workbookViewId="0">
      <selection activeCell="C64" sqref="C64:M64"/>
    </sheetView>
  </sheetViews>
  <sheetFormatPr defaultRowHeight="14.4" x14ac:dyDescent="0.3"/>
  <cols>
    <col min="1" max="1" width="14" bestFit="1" customWidth="1"/>
    <col min="2" max="2" width="10.5546875" style="1" bestFit="1" customWidth="1"/>
    <col min="3" max="3" width="11.6640625" style="1" bestFit="1" customWidth="1"/>
    <col min="4" max="4" width="10" style="1" bestFit="1" customWidth="1"/>
    <col min="5" max="5" width="9.5546875" style="1" bestFit="1" customWidth="1"/>
    <col min="6" max="6" width="8.6640625" style="1" bestFit="1" customWidth="1"/>
    <col min="7" max="8" width="12.6640625" style="1" customWidth="1"/>
    <col min="9" max="10" width="9.6640625" style="1" bestFit="1" customWidth="1"/>
    <col min="11" max="11" width="11" style="1" bestFit="1" customWidth="1"/>
    <col min="12" max="12" width="11.109375" style="1" bestFit="1" customWidth="1"/>
    <col min="13" max="13" width="8.5546875" style="1" bestFit="1" customWidth="1"/>
  </cols>
  <sheetData>
    <row r="1" spans="1:1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  <c r="H1" s="1" t="s">
        <v>14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5" x14ac:dyDescent="0.3">
      <c r="A2" t="s">
        <v>11</v>
      </c>
      <c r="B2" s="1">
        <v>2024</v>
      </c>
      <c r="C2" s="1">
        <v>7</v>
      </c>
      <c r="D2" s="1">
        <v>2</v>
      </c>
      <c r="E2" s="1">
        <v>1</v>
      </c>
      <c r="F2" s="1">
        <v>1</v>
      </c>
      <c r="G2" s="1">
        <v>250</v>
      </c>
      <c r="H2" s="1">
        <v>219</v>
      </c>
      <c r="I2" s="1">
        <f>MOD(K2,10)</f>
        <v>1</v>
      </c>
      <c r="J2" s="1">
        <f>MOD(L2,10)</f>
        <v>9</v>
      </c>
      <c r="K2" s="1">
        <v>91</v>
      </c>
      <c r="L2" s="1">
        <v>39</v>
      </c>
      <c r="M2" s="1" t="s">
        <v>12</v>
      </c>
      <c r="O2" t="str">
        <f t="shared" ref="O2:O57" si="0">CONCATENATE("insert into squaregridwinners values ('",A2,"',",B2,",",C2,",",D2,",",E2,",",F2,",",G2,",",H2,",",I2,",",J2,",",K2,",",L2,",'",M2,"');")</f>
        <v>insert into squaregridwinners values ('PCDWBA',2024,7,2,1,1,250,219,1,9,91,39,'Y');</v>
      </c>
    </row>
    <row r="3" spans="1:15" x14ac:dyDescent="0.3">
      <c r="A3" t="s">
        <v>11</v>
      </c>
      <c r="B3" s="1">
        <v>2024</v>
      </c>
      <c r="C3" s="1">
        <v>7</v>
      </c>
      <c r="D3" s="1">
        <v>2</v>
      </c>
      <c r="E3" s="1">
        <v>1</v>
      </c>
      <c r="F3" s="1">
        <v>2</v>
      </c>
      <c r="G3" s="1">
        <v>188</v>
      </c>
      <c r="H3" s="1">
        <v>161</v>
      </c>
      <c r="I3" s="1">
        <f t="shared" ref="I3:I57" si="1">MOD(K3,10)</f>
        <v>9</v>
      </c>
      <c r="J3" s="1">
        <f t="shared" ref="J3:J57" si="2">MOD(L3,10)</f>
        <v>6</v>
      </c>
      <c r="K3" s="1">
        <v>59</v>
      </c>
      <c r="L3" s="1">
        <v>56</v>
      </c>
      <c r="M3" s="1" t="s">
        <v>12</v>
      </c>
      <c r="O3" t="str">
        <f t="shared" si="0"/>
        <v>insert into squaregridwinners values ('PCDWBA',2024,7,2,1,2,188,161,9,6,59,56,'Y');</v>
      </c>
    </row>
    <row r="4" spans="1:15" x14ac:dyDescent="0.3">
      <c r="A4" t="s">
        <v>11</v>
      </c>
      <c r="B4" s="1">
        <v>2024</v>
      </c>
      <c r="C4" s="1">
        <v>7</v>
      </c>
      <c r="D4" s="1">
        <v>2</v>
      </c>
      <c r="E4" s="1">
        <v>1</v>
      </c>
      <c r="F4" s="1">
        <v>3</v>
      </c>
      <c r="G4" s="1">
        <v>205</v>
      </c>
      <c r="H4" s="1">
        <v>87</v>
      </c>
      <c r="I4" s="1">
        <f t="shared" si="1"/>
        <v>3</v>
      </c>
      <c r="J4" s="1">
        <f t="shared" si="2"/>
        <v>0</v>
      </c>
      <c r="K4" s="1">
        <v>73</v>
      </c>
      <c r="L4" s="1">
        <v>70</v>
      </c>
      <c r="M4" s="1" t="s">
        <v>12</v>
      </c>
      <c r="O4" t="str">
        <f t="shared" si="0"/>
        <v>insert into squaregridwinners values ('PCDWBA',2024,7,2,1,3,205,87,3,0,73,70,'Y');</v>
      </c>
    </row>
    <row r="5" spans="1:15" x14ac:dyDescent="0.3">
      <c r="A5" t="s">
        <v>11</v>
      </c>
      <c r="B5" s="1">
        <v>2024</v>
      </c>
      <c r="C5" s="1">
        <v>7</v>
      </c>
      <c r="D5" s="1">
        <v>2</v>
      </c>
      <c r="E5" s="1">
        <v>1</v>
      </c>
      <c r="F5" s="1">
        <v>4</v>
      </c>
      <c r="G5" s="1">
        <v>117</v>
      </c>
      <c r="H5" s="1">
        <v>82</v>
      </c>
      <c r="I5" s="1">
        <f t="shared" si="1"/>
        <v>9</v>
      </c>
      <c r="J5" s="1">
        <f t="shared" si="2"/>
        <v>6</v>
      </c>
      <c r="K5" s="1">
        <v>89</v>
      </c>
      <c r="L5" s="1">
        <v>56</v>
      </c>
      <c r="M5" s="1" t="s">
        <v>12</v>
      </c>
      <c r="O5" t="str">
        <f t="shared" si="0"/>
        <v>insert into squaregridwinners values ('PCDWBA',2024,7,2,1,4,117,82,9,6,89,56,'Y');</v>
      </c>
    </row>
    <row r="6" spans="1:15" x14ac:dyDescent="0.3">
      <c r="A6" t="s">
        <v>11</v>
      </c>
      <c r="B6" s="1">
        <v>2024</v>
      </c>
      <c r="C6" s="1">
        <v>7</v>
      </c>
      <c r="D6" s="1">
        <v>2</v>
      </c>
      <c r="E6" s="1">
        <v>1</v>
      </c>
      <c r="F6" s="1">
        <v>5</v>
      </c>
      <c r="G6" s="1">
        <v>178</v>
      </c>
      <c r="H6" s="1">
        <v>274</v>
      </c>
      <c r="I6" s="1">
        <f t="shared" si="1"/>
        <v>1</v>
      </c>
      <c r="J6" s="1">
        <f t="shared" si="2"/>
        <v>9</v>
      </c>
      <c r="K6" s="1">
        <v>61</v>
      </c>
      <c r="L6" s="1">
        <v>59</v>
      </c>
      <c r="M6" s="1" t="s">
        <v>12</v>
      </c>
      <c r="O6" t="str">
        <f t="shared" si="0"/>
        <v>insert into squaregridwinners values ('PCDWBA',2024,7,2,1,5,178,274,1,9,61,59,'Y');</v>
      </c>
    </row>
    <row r="7" spans="1:15" x14ac:dyDescent="0.3">
      <c r="A7" t="s">
        <v>11</v>
      </c>
      <c r="B7" s="1">
        <v>2024</v>
      </c>
      <c r="C7" s="1">
        <v>7</v>
      </c>
      <c r="D7" s="1">
        <v>2</v>
      </c>
      <c r="E7" s="1">
        <v>1</v>
      </c>
      <c r="F7" s="1">
        <v>6</v>
      </c>
      <c r="G7" s="1">
        <v>210</v>
      </c>
      <c r="H7" s="1">
        <v>79</v>
      </c>
      <c r="I7" s="1">
        <f t="shared" si="1"/>
        <v>3</v>
      </c>
      <c r="J7" s="1">
        <f t="shared" si="2"/>
        <v>1</v>
      </c>
      <c r="K7" s="1">
        <v>73</v>
      </c>
      <c r="L7" s="1">
        <v>51</v>
      </c>
      <c r="M7" s="1" t="s">
        <v>12</v>
      </c>
      <c r="O7" t="str">
        <f t="shared" si="0"/>
        <v>insert into squaregridwinners values ('PCDWBA',2024,7,2,1,6,210,79,3,1,73,51,'Y');</v>
      </c>
    </row>
    <row r="8" spans="1:15" x14ac:dyDescent="0.3">
      <c r="A8" t="s">
        <v>11</v>
      </c>
      <c r="B8" s="1">
        <v>2024</v>
      </c>
      <c r="C8" s="1">
        <v>7</v>
      </c>
      <c r="D8" s="1">
        <v>2</v>
      </c>
      <c r="E8" s="1">
        <v>1</v>
      </c>
      <c r="F8" s="1">
        <v>7</v>
      </c>
      <c r="G8" s="1">
        <v>165</v>
      </c>
      <c r="H8" s="1">
        <v>152</v>
      </c>
      <c r="I8" s="1">
        <f t="shared" si="1"/>
        <v>7</v>
      </c>
      <c r="J8" s="1">
        <f t="shared" si="2"/>
        <v>5</v>
      </c>
      <c r="K8" s="1">
        <v>67</v>
      </c>
      <c r="L8" s="1">
        <v>55</v>
      </c>
      <c r="M8" s="1" t="s">
        <v>12</v>
      </c>
      <c r="O8" t="str">
        <f t="shared" si="0"/>
        <v>insert into squaregridwinners values ('PCDWBA',2024,7,2,1,7,165,152,7,5,67,55,'Y');</v>
      </c>
    </row>
    <row r="9" spans="1:15" x14ac:dyDescent="0.3">
      <c r="A9" t="s">
        <v>11</v>
      </c>
      <c r="B9" s="1">
        <v>2024</v>
      </c>
      <c r="C9" s="1">
        <v>7</v>
      </c>
      <c r="D9" s="1">
        <v>2</v>
      </c>
      <c r="E9" s="1">
        <v>1</v>
      </c>
      <c r="F9" s="1">
        <v>8</v>
      </c>
      <c r="G9" s="1">
        <v>201</v>
      </c>
      <c r="H9" s="1">
        <v>131</v>
      </c>
      <c r="I9" s="1">
        <f t="shared" si="1"/>
        <v>1</v>
      </c>
      <c r="J9" s="1">
        <f t="shared" si="2"/>
        <v>7</v>
      </c>
      <c r="K9" s="1">
        <v>81</v>
      </c>
      <c r="L9" s="1">
        <v>67</v>
      </c>
      <c r="M9" s="1" t="s">
        <v>12</v>
      </c>
      <c r="O9" t="str">
        <f t="shared" si="0"/>
        <v>insert into squaregridwinners values ('PCDWBA',2024,7,2,1,8,201,131,1,7,81,67,'Y');</v>
      </c>
    </row>
    <row r="10" spans="1:15" x14ac:dyDescent="0.3">
      <c r="A10" t="s">
        <v>11</v>
      </c>
      <c r="B10" s="1">
        <v>2024</v>
      </c>
      <c r="C10" s="1">
        <v>7</v>
      </c>
      <c r="D10" s="1">
        <v>2</v>
      </c>
      <c r="E10" s="1">
        <v>1</v>
      </c>
      <c r="F10" s="1">
        <v>9</v>
      </c>
      <c r="G10" s="1">
        <v>120</v>
      </c>
      <c r="H10" s="1">
        <v>110</v>
      </c>
      <c r="I10" s="1">
        <f t="shared" si="1"/>
        <v>1</v>
      </c>
      <c r="J10" s="1">
        <f t="shared" si="2"/>
        <v>5</v>
      </c>
      <c r="K10" s="1">
        <v>91</v>
      </c>
      <c r="L10" s="1">
        <v>65</v>
      </c>
      <c r="M10" s="1" t="s">
        <v>12</v>
      </c>
      <c r="O10" t="str">
        <f t="shared" si="0"/>
        <v>insert into squaregridwinners values ('PCDWBA',2024,7,2,1,9,120,110,1,5,91,65,'Y');</v>
      </c>
    </row>
    <row r="11" spans="1:15" x14ac:dyDescent="0.3">
      <c r="A11" t="s">
        <v>11</v>
      </c>
      <c r="B11" s="1">
        <v>2024</v>
      </c>
      <c r="C11" s="1">
        <v>7</v>
      </c>
      <c r="D11" s="1">
        <v>2</v>
      </c>
      <c r="E11" s="1">
        <v>1</v>
      </c>
      <c r="F11" s="1">
        <v>10</v>
      </c>
      <c r="G11" s="1">
        <v>326</v>
      </c>
      <c r="H11" s="1">
        <v>220</v>
      </c>
      <c r="I11" s="1">
        <f t="shared" si="1"/>
        <v>3</v>
      </c>
      <c r="J11" s="1">
        <f t="shared" si="2"/>
        <v>3</v>
      </c>
      <c r="K11" s="1">
        <v>63</v>
      </c>
      <c r="L11" s="1">
        <v>53</v>
      </c>
      <c r="M11" s="1" t="s">
        <v>12</v>
      </c>
      <c r="O11" t="str">
        <f t="shared" si="0"/>
        <v>insert into squaregridwinners values ('PCDWBA',2024,7,2,1,10,326,220,3,3,63,53,'Y');</v>
      </c>
    </row>
    <row r="12" spans="1:15" x14ac:dyDescent="0.3">
      <c r="A12" t="s">
        <v>11</v>
      </c>
      <c r="B12" s="1">
        <v>2024</v>
      </c>
      <c r="C12" s="1">
        <v>7</v>
      </c>
      <c r="D12" s="1">
        <v>2</v>
      </c>
      <c r="E12" s="1">
        <v>1</v>
      </c>
      <c r="F12" s="1">
        <v>11</v>
      </c>
      <c r="G12" s="1">
        <v>55</v>
      </c>
      <c r="H12" s="1">
        <v>70</v>
      </c>
      <c r="I12" s="1">
        <f t="shared" si="1"/>
        <v>6</v>
      </c>
      <c r="J12" s="1">
        <f t="shared" si="2"/>
        <v>2</v>
      </c>
      <c r="K12" s="1">
        <v>86</v>
      </c>
      <c r="L12" s="1">
        <v>72</v>
      </c>
      <c r="M12" s="1" t="s">
        <v>12</v>
      </c>
      <c r="O12" t="str">
        <f t="shared" si="0"/>
        <v>insert into squaregridwinners values ('PCDWBA',2024,7,2,1,11,55,70,6,2,86,72,'Y');</v>
      </c>
    </row>
    <row r="13" spans="1:15" x14ac:dyDescent="0.3">
      <c r="A13" t="s">
        <v>11</v>
      </c>
      <c r="B13" s="1">
        <v>2024</v>
      </c>
      <c r="C13" s="1">
        <v>7</v>
      </c>
      <c r="D13" s="1">
        <v>2</v>
      </c>
      <c r="E13" s="1">
        <v>1</v>
      </c>
      <c r="F13" s="1">
        <v>12</v>
      </c>
      <c r="G13" s="1">
        <v>129</v>
      </c>
      <c r="H13" s="1">
        <v>216</v>
      </c>
      <c r="I13" s="1">
        <f t="shared" si="1"/>
        <v>8</v>
      </c>
      <c r="J13" s="1">
        <f t="shared" si="2"/>
        <v>5</v>
      </c>
      <c r="K13" s="1">
        <v>78</v>
      </c>
      <c r="L13" s="1">
        <v>65</v>
      </c>
      <c r="M13" s="1" t="s">
        <v>12</v>
      </c>
      <c r="O13" t="str">
        <f t="shared" si="0"/>
        <v>insert into squaregridwinners values ('PCDWBA',2024,7,2,1,12,129,216,8,5,78,65,'Y');</v>
      </c>
    </row>
    <row r="14" spans="1:15" x14ac:dyDescent="0.3">
      <c r="A14" t="s">
        <v>11</v>
      </c>
      <c r="B14" s="1">
        <v>2024</v>
      </c>
      <c r="C14" s="1">
        <v>7</v>
      </c>
      <c r="D14" s="1">
        <v>2</v>
      </c>
      <c r="E14" s="1">
        <v>1</v>
      </c>
      <c r="F14" s="1">
        <v>13</v>
      </c>
      <c r="G14" s="1">
        <v>162</v>
      </c>
      <c r="H14" s="1">
        <v>144</v>
      </c>
      <c r="I14" s="1">
        <f t="shared" si="1"/>
        <v>1</v>
      </c>
      <c r="J14" s="1">
        <f t="shared" si="2"/>
        <v>9</v>
      </c>
      <c r="K14" s="1">
        <v>71</v>
      </c>
      <c r="L14" s="1">
        <v>69</v>
      </c>
      <c r="M14" s="1" t="s">
        <v>12</v>
      </c>
      <c r="O14" t="str">
        <f t="shared" si="0"/>
        <v>insert into squaregridwinners values ('PCDWBA',2024,7,2,1,13,162,144,1,9,71,69,'Y');</v>
      </c>
    </row>
    <row r="15" spans="1:15" x14ac:dyDescent="0.3">
      <c r="A15" t="s">
        <v>11</v>
      </c>
      <c r="B15" s="1">
        <v>2024</v>
      </c>
      <c r="C15" s="1">
        <v>7</v>
      </c>
      <c r="D15" s="1">
        <v>2</v>
      </c>
      <c r="E15" s="1">
        <v>1</v>
      </c>
      <c r="F15" s="1">
        <v>14</v>
      </c>
      <c r="G15" s="1">
        <v>148</v>
      </c>
      <c r="H15" s="1">
        <v>226</v>
      </c>
      <c r="I15" s="1">
        <f t="shared" si="1"/>
        <v>0</v>
      </c>
      <c r="J15" s="1">
        <f t="shared" si="2"/>
        <v>0</v>
      </c>
      <c r="K15" s="1">
        <v>70</v>
      </c>
      <c r="L15" s="1">
        <v>60</v>
      </c>
      <c r="M15" s="1" t="s">
        <v>12</v>
      </c>
      <c r="O15" t="str">
        <f t="shared" si="0"/>
        <v>insert into squaregridwinners values ('PCDWBA',2024,7,2,1,14,148,226,0,0,70,60,'Y');</v>
      </c>
    </row>
    <row r="16" spans="1:15" x14ac:dyDescent="0.3">
      <c r="A16" t="s">
        <v>11</v>
      </c>
      <c r="B16" s="1">
        <v>2024</v>
      </c>
      <c r="C16" s="1">
        <v>7</v>
      </c>
      <c r="D16" s="1">
        <v>2</v>
      </c>
      <c r="E16" s="1">
        <v>1</v>
      </c>
      <c r="F16" s="1">
        <v>15</v>
      </c>
      <c r="G16" s="1">
        <v>61</v>
      </c>
      <c r="H16" s="1">
        <v>302</v>
      </c>
      <c r="I16" s="1">
        <f t="shared" si="1"/>
        <v>7</v>
      </c>
      <c r="J16" s="1">
        <f t="shared" si="2"/>
        <v>3</v>
      </c>
      <c r="K16" s="1">
        <v>87</v>
      </c>
      <c r="L16" s="1">
        <v>73</v>
      </c>
      <c r="M16" s="1" t="s">
        <v>12</v>
      </c>
      <c r="O16" t="str">
        <f t="shared" si="0"/>
        <v>insert into squaregridwinners values ('PCDWBA',2024,7,2,1,15,61,302,7,3,87,73,'Y');</v>
      </c>
    </row>
    <row r="17" spans="1:15" x14ac:dyDescent="0.3">
      <c r="A17" t="s">
        <v>11</v>
      </c>
      <c r="B17" s="1">
        <v>2024</v>
      </c>
      <c r="C17" s="1">
        <v>7</v>
      </c>
      <c r="D17" s="1">
        <v>2</v>
      </c>
      <c r="E17" s="1">
        <v>1</v>
      </c>
      <c r="F17" s="1">
        <v>16</v>
      </c>
      <c r="G17" s="1">
        <v>290</v>
      </c>
      <c r="H17" s="1">
        <v>364</v>
      </c>
      <c r="I17" s="1">
        <f t="shared" si="1"/>
        <v>4</v>
      </c>
      <c r="J17" s="1">
        <f t="shared" si="2"/>
        <v>5</v>
      </c>
      <c r="K17" s="1">
        <v>84</v>
      </c>
      <c r="L17" s="1">
        <v>55</v>
      </c>
      <c r="M17" s="1" t="s">
        <v>12</v>
      </c>
      <c r="O17" t="str">
        <f t="shared" si="0"/>
        <v>insert into squaregridwinners values ('PCDWBA',2024,7,2,1,16,290,364,4,5,84,55,'Y');</v>
      </c>
    </row>
    <row r="18" spans="1:15" x14ac:dyDescent="0.3">
      <c r="A18" t="s">
        <v>11</v>
      </c>
      <c r="B18" s="1">
        <v>2024</v>
      </c>
      <c r="C18" s="1">
        <v>7</v>
      </c>
      <c r="D18" s="1">
        <v>2</v>
      </c>
      <c r="E18" s="1">
        <v>1</v>
      </c>
      <c r="F18" s="1">
        <v>17</v>
      </c>
      <c r="G18" s="1">
        <v>273</v>
      </c>
      <c r="H18" s="1">
        <v>71</v>
      </c>
      <c r="I18" s="1">
        <f t="shared" si="1"/>
        <v>2</v>
      </c>
      <c r="J18" s="1">
        <f t="shared" si="2"/>
        <v>2</v>
      </c>
      <c r="K18" s="1">
        <v>82</v>
      </c>
      <c r="L18" s="1">
        <v>42</v>
      </c>
      <c r="M18" s="1" t="s">
        <v>12</v>
      </c>
      <c r="O18" t="str">
        <f t="shared" si="0"/>
        <v>insert into squaregridwinners values ('PCDWBA',2024,7,2,1,17,273,71,2,2,82,42,'Y');</v>
      </c>
    </row>
    <row r="19" spans="1:15" x14ac:dyDescent="0.3">
      <c r="A19" t="s">
        <v>11</v>
      </c>
      <c r="B19" s="1">
        <v>2024</v>
      </c>
      <c r="C19" s="1">
        <v>7</v>
      </c>
      <c r="D19" s="1">
        <v>2</v>
      </c>
      <c r="E19" s="1">
        <v>1</v>
      </c>
      <c r="F19" s="1">
        <v>18</v>
      </c>
      <c r="G19" s="1">
        <v>3</v>
      </c>
      <c r="H19" s="1">
        <v>89</v>
      </c>
      <c r="I19" s="1">
        <f t="shared" si="1"/>
        <v>2</v>
      </c>
      <c r="J19" s="1">
        <f t="shared" si="2"/>
        <v>4</v>
      </c>
      <c r="K19" s="1">
        <v>82</v>
      </c>
      <c r="L19" s="1">
        <v>74</v>
      </c>
      <c r="M19" s="1" t="s">
        <v>12</v>
      </c>
      <c r="O19" t="str">
        <f t="shared" si="0"/>
        <v>insert into squaregridwinners values ('PCDWBA',2024,7,2,1,18,3,89,2,4,82,74,'Y');</v>
      </c>
    </row>
    <row r="20" spans="1:15" x14ac:dyDescent="0.3">
      <c r="A20" t="s">
        <v>11</v>
      </c>
      <c r="B20" s="1">
        <v>2024</v>
      </c>
      <c r="C20" s="1">
        <v>7</v>
      </c>
      <c r="D20" s="1">
        <v>2</v>
      </c>
      <c r="E20" s="1">
        <v>1</v>
      </c>
      <c r="F20" s="1">
        <v>19</v>
      </c>
      <c r="G20" s="1">
        <v>310</v>
      </c>
      <c r="H20" s="1">
        <v>252</v>
      </c>
      <c r="I20" s="1">
        <f t="shared" si="1"/>
        <v>8</v>
      </c>
      <c r="J20" s="1">
        <f t="shared" si="2"/>
        <v>4</v>
      </c>
      <c r="K20" s="1">
        <v>68</v>
      </c>
      <c r="L20" s="1">
        <v>54</v>
      </c>
      <c r="M20" s="1" t="s">
        <v>12</v>
      </c>
      <c r="O20" t="str">
        <f t="shared" si="0"/>
        <v>insert into squaregridwinners values ('PCDWBA',2024,7,2,1,19,310,252,8,4,68,54,'Y');</v>
      </c>
    </row>
    <row r="21" spans="1:15" x14ac:dyDescent="0.3">
      <c r="A21" t="s">
        <v>11</v>
      </c>
      <c r="B21" s="1">
        <v>2024</v>
      </c>
      <c r="C21" s="1">
        <v>7</v>
      </c>
      <c r="D21" s="1">
        <v>2</v>
      </c>
      <c r="E21" s="1">
        <v>1</v>
      </c>
      <c r="F21" s="1">
        <v>20</v>
      </c>
      <c r="G21" s="1">
        <v>101</v>
      </c>
      <c r="H21" s="1">
        <v>287</v>
      </c>
      <c r="I21" s="1">
        <f t="shared" si="1"/>
        <v>5</v>
      </c>
      <c r="J21" s="1">
        <f t="shared" si="2"/>
        <v>6</v>
      </c>
      <c r="K21" s="1">
        <v>75</v>
      </c>
      <c r="L21" s="1">
        <v>56</v>
      </c>
      <c r="M21" s="1" t="s">
        <v>12</v>
      </c>
      <c r="O21" t="str">
        <f t="shared" si="0"/>
        <v>insert into squaregridwinners values ('PCDWBA',2024,7,2,1,20,101,287,5,6,75,56,'Y');</v>
      </c>
    </row>
    <row r="22" spans="1:15" x14ac:dyDescent="0.3">
      <c r="A22" t="s">
        <v>11</v>
      </c>
      <c r="B22" s="1">
        <v>2024</v>
      </c>
      <c r="C22" s="1">
        <v>7</v>
      </c>
      <c r="D22" s="1">
        <v>2</v>
      </c>
      <c r="E22" s="1">
        <v>1</v>
      </c>
      <c r="F22" s="1">
        <v>21</v>
      </c>
      <c r="G22" s="1">
        <v>269</v>
      </c>
      <c r="H22" s="1">
        <v>103</v>
      </c>
      <c r="I22" s="1">
        <f t="shared" si="1"/>
        <v>2</v>
      </c>
      <c r="J22" s="1">
        <f t="shared" si="2"/>
        <v>3</v>
      </c>
      <c r="K22" s="1">
        <v>92</v>
      </c>
      <c r="L22" s="1">
        <v>63</v>
      </c>
      <c r="M22" s="1" t="s">
        <v>12</v>
      </c>
      <c r="O22" t="str">
        <f t="shared" si="0"/>
        <v>insert into squaregridwinners values ('PCDWBA',2024,7,2,1,21,269,103,2,3,92,63,'Y');</v>
      </c>
    </row>
    <row r="23" spans="1:15" x14ac:dyDescent="0.3">
      <c r="A23" t="s">
        <v>11</v>
      </c>
      <c r="B23" s="1">
        <v>2024</v>
      </c>
      <c r="C23" s="1">
        <v>7</v>
      </c>
      <c r="D23" s="1">
        <v>2</v>
      </c>
      <c r="E23" s="1">
        <v>1</v>
      </c>
      <c r="F23" s="1">
        <v>22</v>
      </c>
      <c r="G23" s="1">
        <v>191</v>
      </c>
      <c r="H23" s="1">
        <v>46</v>
      </c>
      <c r="I23" s="1">
        <f t="shared" si="1"/>
        <v>4</v>
      </c>
      <c r="J23" s="1">
        <f t="shared" si="2"/>
        <v>5</v>
      </c>
      <c r="K23" s="1">
        <v>64</v>
      </c>
      <c r="L23" s="1">
        <v>45</v>
      </c>
      <c r="M23" s="1" t="s">
        <v>12</v>
      </c>
      <c r="O23" t="str">
        <f t="shared" si="0"/>
        <v>insert into squaregridwinners values ('PCDWBA',2024,7,2,1,22,191,46,4,5,64,45,'Y');</v>
      </c>
    </row>
    <row r="24" spans="1:15" x14ac:dyDescent="0.3">
      <c r="A24" t="s">
        <v>11</v>
      </c>
      <c r="B24" s="1">
        <v>2024</v>
      </c>
      <c r="C24" s="1">
        <v>7</v>
      </c>
      <c r="D24" s="1">
        <v>2</v>
      </c>
      <c r="E24" s="1">
        <v>1</v>
      </c>
      <c r="F24" s="1">
        <v>23</v>
      </c>
      <c r="G24" s="1">
        <v>121</v>
      </c>
      <c r="H24" s="1">
        <v>154</v>
      </c>
      <c r="I24" s="1">
        <f t="shared" si="1"/>
        <v>3</v>
      </c>
      <c r="J24" s="1">
        <f t="shared" si="2"/>
        <v>6</v>
      </c>
      <c r="K24" s="1">
        <v>93</v>
      </c>
      <c r="L24" s="1">
        <v>86</v>
      </c>
      <c r="M24" s="1" t="s">
        <v>12</v>
      </c>
      <c r="O24" t="str">
        <f t="shared" si="0"/>
        <v>insert into squaregridwinners values ('PCDWBA',2024,7,2,1,23,121,154,3,6,93,86,'Y');</v>
      </c>
    </row>
    <row r="25" spans="1:15" x14ac:dyDescent="0.3">
      <c r="A25" t="s">
        <v>11</v>
      </c>
      <c r="B25" s="1">
        <v>2024</v>
      </c>
      <c r="C25" s="1">
        <v>7</v>
      </c>
      <c r="D25" s="1">
        <v>2</v>
      </c>
      <c r="E25" s="1">
        <v>1</v>
      </c>
      <c r="F25" s="1">
        <v>24</v>
      </c>
      <c r="G25" s="1">
        <v>262</v>
      </c>
      <c r="H25" s="1">
        <v>187</v>
      </c>
      <c r="I25" s="1">
        <f t="shared" si="1"/>
        <v>9</v>
      </c>
      <c r="J25" s="1">
        <f t="shared" si="2"/>
        <v>0</v>
      </c>
      <c r="K25" s="1">
        <v>79</v>
      </c>
      <c r="L25" s="1">
        <v>50</v>
      </c>
      <c r="M25" s="1" t="s">
        <v>12</v>
      </c>
      <c r="O25" t="str">
        <f t="shared" si="0"/>
        <v>insert into squaregridwinners values ('PCDWBA',2024,7,2,1,24,262,187,9,0,79,50,'Y');</v>
      </c>
    </row>
    <row r="26" spans="1:15" x14ac:dyDescent="0.3">
      <c r="A26" t="s">
        <v>11</v>
      </c>
      <c r="B26" s="1">
        <v>2024</v>
      </c>
      <c r="C26" s="1">
        <v>7</v>
      </c>
      <c r="D26" s="1">
        <v>2</v>
      </c>
      <c r="E26" s="1">
        <v>1</v>
      </c>
      <c r="F26" s="1">
        <v>25</v>
      </c>
      <c r="G26" s="1">
        <v>303</v>
      </c>
      <c r="H26" s="1">
        <v>275</v>
      </c>
      <c r="I26" s="1">
        <f t="shared" si="1"/>
        <v>7</v>
      </c>
      <c r="J26" s="1">
        <f t="shared" si="2"/>
        <v>5</v>
      </c>
      <c r="K26" s="1">
        <v>87</v>
      </c>
      <c r="L26" s="1">
        <v>55</v>
      </c>
      <c r="M26" s="1" t="s">
        <v>12</v>
      </c>
      <c r="O26" t="str">
        <f t="shared" si="0"/>
        <v>insert into squaregridwinners values ('PCDWBA',2024,7,2,1,25,303,275,7,5,87,55,'Y');</v>
      </c>
    </row>
    <row r="27" spans="1:15" x14ac:dyDescent="0.3">
      <c r="A27" t="s">
        <v>11</v>
      </c>
      <c r="B27" s="1">
        <v>2024</v>
      </c>
      <c r="C27" s="1">
        <v>7</v>
      </c>
      <c r="D27" s="1">
        <v>2</v>
      </c>
      <c r="E27" s="1">
        <v>1</v>
      </c>
      <c r="F27" s="1">
        <v>26</v>
      </c>
      <c r="G27" s="1">
        <v>128</v>
      </c>
      <c r="H27" s="1">
        <v>160</v>
      </c>
      <c r="I27" s="1">
        <f t="shared" si="1"/>
        <v>1</v>
      </c>
      <c r="J27" s="1">
        <f t="shared" si="2"/>
        <v>2</v>
      </c>
      <c r="K27" s="1">
        <v>81</v>
      </c>
      <c r="L27" s="1">
        <v>72</v>
      </c>
      <c r="M27" s="1" t="s">
        <v>12</v>
      </c>
      <c r="O27" t="str">
        <f t="shared" si="0"/>
        <v>insert into squaregridwinners values ('PCDWBA',2024,7,2,1,26,128,160,1,2,81,72,'Y');</v>
      </c>
    </row>
    <row r="28" spans="1:15" x14ac:dyDescent="0.3">
      <c r="A28" t="s">
        <v>11</v>
      </c>
      <c r="B28" s="1">
        <v>2024</v>
      </c>
      <c r="C28" s="1">
        <v>7</v>
      </c>
      <c r="D28" s="1">
        <v>2</v>
      </c>
      <c r="E28" s="1">
        <v>1</v>
      </c>
      <c r="F28" s="1">
        <v>27</v>
      </c>
      <c r="G28" s="1">
        <v>19</v>
      </c>
      <c r="H28" s="1">
        <v>314</v>
      </c>
      <c r="I28" s="1">
        <f t="shared" si="1"/>
        <v>0</v>
      </c>
      <c r="J28" s="1">
        <f t="shared" si="2"/>
        <v>3</v>
      </c>
      <c r="K28" s="1">
        <v>80</v>
      </c>
      <c r="L28" s="1">
        <v>63</v>
      </c>
      <c r="M28" s="1" t="s">
        <v>12</v>
      </c>
      <c r="O28" t="str">
        <f t="shared" si="0"/>
        <v>insert into squaregridwinners values ('PCDWBA',2024,7,2,1,27,19,314,0,3,80,63,'Y');</v>
      </c>
    </row>
    <row r="29" spans="1:15" x14ac:dyDescent="0.3">
      <c r="A29" t="s">
        <v>11</v>
      </c>
      <c r="B29" s="1">
        <v>2024</v>
      </c>
      <c r="C29" s="1">
        <v>7</v>
      </c>
      <c r="D29" s="1">
        <v>2</v>
      </c>
      <c r="E29" s="1">
        <v>1</v>
      </c>
      <c r="F29" s="1">
        <v>28</v>
      </c>
      <c r="G29" s="1">
        <v>319</v>
      </c>
      <c r="H29" s="1">
        <v>153</v>
      </c>
      <c r="I29" s="1">
        <f t="shared" si="1"/>
        <v>2</v>
      </c>
      <c r="J29" s="1">
        <f t="shared" si="2"/>
        <v>9</v>
      </c>
      <c r="K29" s="1">
        <v>92</v>
      </c>
      <c r="L29" s="1">
        <v>49</v>
      </c>
      <c r="M29" s="1" t="s">
        <v>12</v>
      </c>
      <c r="O29" t="str">
        <f t="shared" si="0"/>
        <v>insert into squaregridwinners values ('PCDWBA',2024,7,2,1,28,319,153,2,9,92,49,'Y');</v>
      </c>
    </row>
    <row r="30" spans="1:15" x14ac:dyDescent="0.3">
      <c r="A30" t="s">
        <v>11</v>
      </c>
      <c r="B30" s="1">
        <v>2024</v>
      </c>
      <c r="C30" s="1">
        <v>7</v>
      </c>
      <c r="D30" s="1">
        <v>2</v>
      </c>
      <c r="E30" s="1">
        <v>1</v>
      </c>
      <c r="F30" s="1">
        <v>29</v>
      </c>
      <c r="G30" s="1">
        <v>266</v>
      </c>
      <c r="H30" s="1">
        <v>10</v>
      </c>
      <c r="I30" s="1">
        <f t="shared" si="1"/>
        <v>4</v>
      </c>
      <c r="J30" s="1">
        <f t="shared" si="2"/>
        <v>9</v>
      </c>
      <c r="K30" s="1">
        <v>74</v>
      </c>
      <c r="L30" s="1">
        <v>69</v>
      </c>
      <c r="M30" s="1" t="s">
        <v>12</v>
      </c>
      <c r="O30" t="str">
        <f t="shared" si="0"/>
        <v>insert into squaregridwinners values ('PCDWBA',2024,7,2,1,29,266,10,4,9,74,69,'Y');</v>
      </c>
    </row>
    <row r="31" spans="1:15" x14ac:dyDescent="0.3">
      <c r="A31" t="s">
        <v>11</v>
      </c>
      <c r="B31" s="1">
        <v>2024</v>
      </c>
      <c r="C31" s="1">
        <v>7</v>
      </c>
      <c r="D31" s="1">
        <v>2</v>
      </c>
      <c r="E31" s="1">
        <v>1</v>
      </c>
      <c r="F31" s="1">
        <v>30</v>
      </c>
      <c r="G31" s="1">
        <v>58</v>
      </c>
      <c r="H31" s="1">
        <v>124</v>
      </c>
      <c r="I31" s="1">
        <f t="shared" si="1"/>
        <v>6</v>
      </c>
      <c r="J31" s="1">
        <f t="shared" si="2"/>
        <v>4</v>
      </c>
      <c r="K31" s="1">
        <v>86</v>
      </c>
      <c r="L31" s="1">
        <v>64</v>
      </c>
      <c r="M31" s="1" t="s">
        <v>12</v>
      </c>
      <c r="O31" t="str">
        <f t="shared" si="0"/>
        <v>insert into squaregridwinners values ('PCDWBA',2024,7,2,1,30,58,124,6,4,86,64,'Y');</v>
      </c>
    </row>
    <row r="32" spans="1:15" x14ac:dyDescent="0.3">
      <c r="A32" t="s">
        <v>11</v>
      </c>
      <c r="B32" s="1">
        <v>2024</v>
      </c>
      <c r="C32" s="1">
        <v>7</v>
      </c>
      <c r="D32" s="1">
        <v>2</v>
      </c>
      <c r="E32" s="1">
        <v>1</v>
      </c>
      <c r="F32" s="1">
        <v>31</v>
      </c>
      <c r="G32" s="1">
        <v>72</v>
      </c>
      <c r="H32" s="1">
        <v>227</v>
      </c>
      <c r="I32" s="1">
        <f t="shared" si="1"/>
        <v>2</v>
      </c>
      <c r="J32" s="1">
        <f t="shared" si="2"/>
        <v>1</v>
      </c>
      <c r="K32" s="1">
        <v>72</v>
      </c>
      <c r="L32" s="1">
        <v>61</v>
      </c>
      <c r="M32" s="1" t="s">
        <v>12</v>
      </c>
      <c r="O32" t="str">
        <f t="shared" si="0"/>
        <v>insert into squaregridwinners values ('PCDWBA',2024,7,2,1,31,72,227,2,1,72,61,'Y');</v>
      </c>
    </row>
    <row r="33" spans="1:15" x14ac:dyDescent="0.3">
      <c r="A33" t="s">
        <v>11</v>
      </c>
      <c r="B33" s="1">
        <v>2024</v>
      </c>
      <c r="C33" s="1">
        <v>7</v>
      </c>
      <c r="D33" s="1">
        <v>2</v>
      </c>
      <c r="E33" s="1">
        <v>1</v>
      </c>
      <c r="F33" s="1">
        <v>32</v>
      </c>
      <c r="G33" s="1">
        <v>203</v>
      </c>
      <c r="H33" s="1">
        <v>149</v>
      </c>
      <c r="I33" s="1">
        <f t="shared" si="1"/>
        <v>0</v>
      </c>
      <c r="J33" s="1">
        <f t="shared" si="2"/>
        <v>7</v>
      </c>
      <c r="K33" s="1">
        <v>80</v>
      </c>
      <c r="L33" s="1">
        <v>57</v>
      </c>
      <c r="M33" s="1" t="s">
        <v>12</v>
      </c>
      <c r="O33" t="str">
        <f t="shared" si="0"/>
        <v>insert into squaregridwinners values ('PCDWBA',2024,7,2,1,32,203,149,0,7,80,57,'Y');</v>
      </c>
    </row>
    <row r="34" spans="1:15" x14ac:dyDescent="0.3">
      <c r="A34" t="s">
        <v>11</v>
      </c>
      <c r="B34" s="1">
        <v>2024</v>
      </c>
      <c r="C34" s="1">
        <v>7</v>
      </c>
      <c r="D34" s="1">
        <v>2</v>
      </c>
      <c r="E34" s="1">
        <v>2</v>
      </c>
      <c r="F34" s="1">
        <v>1</v>
      </c>
      <c r="G34" s="1">
        <v>250</v>
      </c>
      <c r="H34" s="1">
        <v>186</v>
      </c>
      <c r="I34" s="1">
        <f t="shared" si="1"/>
        <v>8</v>
      </c>
      <c r="J34" s="1">
        <f t="shared" si="2"/>
        <v>1</v>
      </c>
      <c r="K34" s="1">
        <v>88</v>
      </c>
      <c r="L34" s="1">
        <v>41</v>
      </c>
      <c r="M34" s="1" t="s">
        <v>12</v>
      </c>
      <c r="O34" t="str">
        <f t="shared" si="0"/>
        <v>insert into squaregridwinners values ('PCDWBA',2024,7,2,2,1,250,186,8,1,88,41,'Y');</v>
      </c>
    </row>
    <row r="35" spans="1:15" x14ac:dyDescent="0.3">
      <c r="A35" t="s">
        <v>11</v>
      </c>
      <c r="B35" s="1">
        <v>2024</v>
      </c>
      <c r="C35" s="1">
        <v>7</v>
      </c>
      <c r="D35" s="1">
        <v>2</v>
      </c>
      <c r="E35" s="1">
        <v>2</v>
      </c>
      <c r="F35" s="1">
        <v>2</v>
      </c>
      <c r="G35" s="1">
        <v>117</v>
      </c>
      <c r="H35" s="1">
        <v>205</v>
      </c>
      <c r="I35" s="1">
        <f t="shared" si="1"/>
        <v>5</v>
      </c>
      <c r="J35" s="1">
        <f t="shared" si="2"/>
        <v>8</v>
      </c>
      <c r="K35" s="1">
        <v>75</v>
      </c>
      <c r="L35" s="1">
        <v>68</v>
      </c>
      <c r="M35" s="1" t="s">
        <v>12</v>
      </c>
      <c r="O35" t="str">
        <f t="shared" si="0"/>
        <v>insert into squaregridwinners values ('PCDWBA',2024,7,2,2,2,117,205,5,8,75,68,'Y');</v>
      </c>
    </row>
    <row r="36" spans="1:15" x14ac:dyDescent="0.3">
      <c r="A36" t="s">
        <v>11</v>
      </c>
      <c r="B36" s="1">
        <v>2024</v>
      </c>
      <c r="C36" s="1">
        <v>7</v>
      </c>
      <c r="D36" s="1">
        <v>2</v>
      </c>
      <c r="E36" s="1">
        <v>2</v>
      </c>
      <c r="F36" s="1">
        <v>3</v>
      </c>
      <c r="G36" s="1">
        <v>210</v>
      </c>
      <c r="H36" s="1">
        <v>178</v>
      </c>
      <c r="I36" s="1">
        <f t="shared" si="1"/>
        <v>1</v>
      </c>
      <c r="J36" s="1">
        <f t="shared" si="2"/>
        <v>1</v>
      </c>
      <c r="K36" s="1">
        <v>61</v>
      </c>
      <c r="L36" s="1">
        <v>51</v>
      </c>
      <c r="M36" s="1" t="s">
        <v>12</v>
      </c>
      <c r="O36" t="str">
        <f t="shared" si="0"/>
        <v>insert into squaregridwinners values ('PCDWBA',2024,7,2,2,3,210,178,1,1,61,51,'Y');</v>
      </c>
    </row>
    <row r="37" spans="1:15" x14ac:dyDescent="0.3">
      <c r="A37" t="s">
        <v>11</v>
      </c>
      <c r="B37" s="1">
        <v>2024</v>
      </c>
      <c r="C37" s="1">
        <v>7</v>
      </c>
      <c r="D37" s="1">
        <v>2</v>
      </c>
      <c r="E37" s="1">
        <v>2</v>
      </c>
      <c r="F37" s="1">
        <v>4</v>
      </c>
      <c r="G37" s="1">
        <v>201</v>
      </c>
      <c r="H37" s="1">
        <v>165</v>
      </c>
      <c r="I37" s="1">
        <f t="shared" si="1"/>
        <v>1</v>
      </c>
      <c r="J37" s="1">
        <f t="shared" si="2"/>
        <v>6</v>
      </c>
      <c r="K37" s="1">
        <v>71</v>
      </c>
      <c r="L37" s="1">
        <v>56</v>
      </c>
      <c r="M37" s="1" t="s">
        <v>12</v>
      </c>
      <c r="O37" t="str">
        <f t="shared" si="0"/>
        <v>insert into squaregridwinners values ('PCDWBA',2024,7,2,2,4,201,165,1,6,71,56,'Y');</v>
      </c>
    </row>
    <row r="38" spans="1:15" x14ac:dyDescent="0.3">
      <c r="A38" t="s">
        <v>11</v>
      </c>
      <c r="B38" s="1">
        <v>2024</v>
      </c>
      <c r="C38" s="1">
        <v>7</v>
      </c>
      <c r="D38" s="1">
        <v>2</v>
      </c>
      <c r="E38" s="1">
        <v>2</v>
      </c>
      <c r="F38" s="1">
        <v>5</v>
      </c>
      <c r="G38" s="1">
        <v>120</v>
      </c>
      <c r="H38" s="1">
        <v>326</v>
      </c>
      <c r="I38" s="1">
        <f t="shared" si="1"/>
        <v>4</v>
      </c>
      <c r="J38" s="1">
        <f t="shared" si="2"/>
        <v>4</v>
      </c>
      <c r="K38" s="1">
        <v>64</v>
      </c>
      <c r="L38" s="1">
        <v>54</v>
      </c>
      <c r="M38" s="1" t="s">
        <v>12</v>
      </c>
      <c r="O38" t="str">
        <f t="shared" si="0"/>
        <v>insert into squaregridwinners values ('PCDWBA',2024,7,2,2,5,120,326,4,4,64,54,'Y');</v>
      </c>
    </row>
    <row r="39" spans="1:15" x14ac:dyDescent="0.3">
      <c r="A39" t="s">
        <v>11</v>
      </c>
      <c r="B39" s="1">
        <v>2024</v>
      </c>
      <c r="C39" s="1">
        <v>7</v>
      </c>
      <c r="D39" s="1">
        <v>2</v>
      </c>
      <c r="E39" s="1">
        <v>2</v>
      </c>
      <c r="F39" s="1">
        <v>6</v>
      </c>
      <c r="G39" s="1">
        <v>55</v>
      </c>
      <c r="H39" s="1">
        <v>129</v>
      </c>
      <c r="I39" s="1">
        <f t="shared" si="1"/>
        <v>3</v>
      </c>
      <c r="J39" s="1">
        <f t="shared" si="2"/>
        <v>0</v>
      </c>
      <c r="K39" s="1">
        <v>63</v>
      </c>
      <c r="L39" s="1">
        <v>50</v>
      </c>
      <c r="M39" s="1" t="s">
        <v>12</v>
      </c>
      <c r="O39" t="str">
        <f t="shared" si="0"/>
        <v>insert into squaregridwinners values ('PCDWBA',2024,7,2,2,6,55,129,3,0,63,50,'Y');</v>
      </c>
    </row>
    <row r="40" spans="1:15" x14ac:dyDescent="0.3">
      <c r="A40" t="s">
        <v>11</v>
      </c>
      <c r="B40" s="1">
        <v>2024</v>
      </c>
      <c r="C40" s="1">
        <v>7</v>
      </c>
      <c r="D40" s="1">
        <v>2</v>
      </c>
      <c r="E40" s="1">
        <v>2</v>
      </c>
      <c r="F40" s="1">
        <v>7</v>
      </c>
      <c r="G40" s="1">
        <v>148</v>
      </c>
      <c r="H40" s="1">
        <v>162</v>
      </c>
      <c r="I40" s="1">
        <f t="shared" si="1"/>
        <v>3</v>
      </c>
      <c r="J40" s="1">
        <f t="shared" si="2"/>
        <v>6</v>
      </c>
      <c r="K40" s="1">
        <v>83</v>
      </c>
      <c r="L40" s="1">
        <v>56</v>
      </c>
      <c r="M40" s="1" t="s">
        <v>12</v>
      </c>
      <c r="O40" t="str">
        <f t="shared" si="0"/>
        <v>insert into squaregridwinners values ('PCDWBA',2024,7,2,2,7,148,162,3,6,83,56,'Y');</v>
      </c>
    </row>
    <row r="41" spans="1:15" x14ac:dyDescent="0.3">
      <c r="A41" t="s">
        <v>11</v>
      </c>
      <c r="B41" s="1">
        <v>2024</v>
      </c>
      <c r="C41" s="1">
        <v>7</v>
      </c>
      <c r="D41" s="1">
        <v>2</v>
      </c>
      <c r="E41" s="1">
        <v>2</v>
      </c>
      <c r="F41" s="1">
        <v>8</v>
      </c>
      <c r="G41" s="1">
        <v>290</v>
      </c>
      <c r="H41" s="1">
        <v>61</v>
      </c>
      <c r="I41" s="1">
        <f t="shared" si="1"/>
        <v>7</v>
      </c>
      <c r="J41" s="1">
        <f t="shared" si="2"/>
        <v>3</v>
      </c>
      <c r="K41" s="1">
        <v>67</v>
      </c>
      <c r="L41" s="1">
        <v>63</v>
      </c>
      <c r="M41" s="1" t="s">
        <v>12</v>
      </c>
      <c r="O41" t="str">
        <f t="shared" si="0"/>
        <v>insert into squaregridwinners values ('PCDWBA',2024,7,2,2,8,290,61,7,3,67,63,'Y');</v>
      </c>
    </row>
    <row r="42" spans="1:15" x14ac:dyDescent="0.3">
      <c r="A42" t="s">
        <v>11</v>
      </c>
      <c r="B42" s="1">
        <v>2024</v>
      </c>
      <c r="C42" s="1">
        <v>7</v>
      </c>
      <c r="D42" s="1">
        <v>2</v>
      </c>
      <c r="E42" s="1">
        <v>2</v>
      </c>
      <c r="F42" s="1">
        <v>9</v>
      </c>
      <c r="G42" s="1">
        <v>273</v>
      </c>
      <c r="H42" s="1">
        <v>3</v>
      </c>
      <c r="I42" s="1">
        <f t="shared" si="1"/>
        <v>5</v>
      </c>
      <c r="J42" s="1">
        <f t="shared" si="2"/>
        <v>4</v>
      </c>
      <c r="K42" s="1">
        <v>65</v>
      </c>
      <c r="L42" s="1">
        <v>54</v>
      </c>
      <c r="M42" s="1" t="s">
        <v>12</v>
      </c>
      <c r="O42" t="str">
        <f t="shared" si="0"/>
        <v>insert into squaregridwinners values ('PCDWBA',2024,7,2,2,9,273,3,5,4,65,54,'Y');</v>
      </c>
    </row>
    <row r="43" spans="1:15" x14ac:dyDescent="0.3">
      <c r="A43" t="s">
        <v>11</v>
      </c>
      <c r="B43" s="1">
        <v>2024</v>
      </c>
      <c r="C43" s="1">
        <v>7</v>
      </c>
      <c r="D43" s="1">
        <v>2</v>
      </c>
      <c r="E43" s="1">
        <v>2</v>
      </c>
      <c r="F43" s="1">
        <v>10</v>
      </c>
      <c r="G43" s="1">
        <v>101</v>
      </c>
      <c r="H43" s="1">
        <v>310</v>
      </c>
      <c r="I43" s="1">
        <f t="shared" si="1"/>
        <v>7</v>
      </c>
      <c r="J43" s="1">
        <f t="shared" si="2"/>
        <v>6</v>
      </c>
      <c r="K43" s="1">
        <v>77</v>
      </c>
      <c r="L43" s="1">
        <v>66</v>
      </c>
      <c r="M43" s="1" t="s">
        <v>12</v>
      </c>
      <c r="O43" t="str">
        <f t="shared" si="0"/>
        <v>insert into squaregridwinners values ('PCDWBA',2024,7,2,2,10,101,310,7,6,77,66,'Y');</v>
      </c>
    </row>
    <row r="44" spans="1:15" x14ac:dyDescent="0.3">
      <c r="A44" t="s">
        <v>11</v>
      </c>
      <c r="B44" s="1">
        <v>2024</v>
      </c>
      <c r="C44" s="1">
        <v>7</v>
      </c>
      <c r="D44" s="1">
        <v>2</v>
      </c>
      <c r="E44" s="1">
        <v>2</v>
      </c>
      <c r="F44" s="1">
        <v>11</v>
      </c>
      <c r="G44" s="1">
        <v>191</v>
      </c>
      <c r="H44" s="1">
        <v>269</v>
      </c>
      <c r="I44" s="1">
        <f t="shared" si="1"/>
        <v>9</v>
      </c>
      <c r="J44" s="1">
        <f t="shared" si="2"/>
        <v>2</v>
      </c>
      <c r="K44" s="1">
        <v>79</v>
      </c>
      <c r="L44" s="1">
        <v>72</v>
      </c>
      <c r="M44" s="1" t="s">
        <v>12</v>
      </c>
      <c r="O44" t="str">
        <f t="shared" si="0"/>
        <v>insert into squaregridwinners values ('PCDWBA',2024,7,2,2,11,191,269,9,2,79,72,'Y');</v>
      </c>
    </row>
    <row r="45" spans="1:15" x14ac:dyDescent="0.3">
      <c r="A45" t="s">
        <v>11</v>
      </c>
      <c r="B45" s="1">
        <v>2024</v>
      </c>
      <c r="C45" s="1">
        <v>7</v>
      </c>
      <c r="D45" s="1">
        <v>2</v>
      </c>
      <c r="E45" s="1">
        <v>2</v>
      </c>
      <c r="F45" s="1">
        <v>12</v>
      </c>
      <c r="G45" s="1">
        <v>262</v>
      </c>
      <c r="H45" s="1">
        <v>121</v>
      </c>
      <c r="I45" s="1">
        <f t="shared" si="1"/>
        <v>7</v>
      </c>
      <c r="J45" s="1">
        <f t="shared" si="2"/>
        <v>1</v>
      </c>
      <c r="K45" s="1">
        <v>87</v>
      </c>
      <c r="L45" s="1">
        <v>81</v>
      </c>
      <c r="M45" s="1" t="s">
        <v>12</v>
      </c>
      <c r="O45" t="str">
        <f t="shared" si="0"/>
        <v>insert into squaregridwinners values ('PCDWBA',2024,7,2,2,12,262,121,7,1,87,81,'Y');</v>
      </c>
    </row>
    <row r="46" spans="1:15" x14ac:dyDescent="0.3">
      <c r="A46" t="s">
        <v>11</v>
      </c>
      <c r="B46" s="1">
        <v>2024</v>
      </c>
      <c r="C46" s="1">
        <v>7</v>
      </c>
      <c r="D46" s="1">
        <v>2</v>
      </c>
      <c r="E46" s="1">
        <v>2</v>
      </c>
      <c r="F46" s="1">
        <v>13</v>
      </c>
      <c r="G46" s="1">
        <v>303</v>
      </c>
      <c r="H46" s="1">
        <v>128</v>
      </c>
      <c r="I46" s="1">
        <f t="shared" si="1"/>
        <v>3</v>
      </c>
      <c r="J46" s="1">
        <f t="shared" si="2"/>
        <v>5</v>
      </c>
      <c r="K46" s="1">
        <v>73</v>
      </c>
      <c r="L46" s="1">
        <v>55</v>
      </c>
      <c r="M46" s="1" t="s">
        <v>12</v>
      </c>
      <c r="O46" t="str">
        <f t="shared" si="0"/>
        <v>insert into squaregridwinners values ('PCDWBA',2024,7,2,2,13,303,128,3,5,73,55,'Y');</v>
      </c>
    </row>
    <row r="47" spans="1:15" x14ac:dyDescent="0.3">
      <c r="A47" t="s">
        <v>11</v>
      </c>
      <c r="B47" s="1">
        <v>2024</v>
      </c>
      <c r="C47" s="1">
        <v>7</v>
      </c>
      <c r="D47" s="1">
        <v>2</v>
      </c>
      <c r="E47" s="1">
        <v>2</v>
      </c>
      <c r="F47" s="1">
        <v>14</v>
      </c>
      <c r="G47" s="1">
        <v>19</v>
      </c>
      <c r="H47" s="1">
        <v>319</v>
      </c>
      <c r="I47" s="1">
        <f t="shared" si="1"/>
        <v>5</v>
      </c>
      <c r="J47" s="1">
        <f t="shared" si="2"/>
        <v>2</v>
      </c>
      <c r="K47" s="1">
        <v>75</v>
      </c>
      <c r="L47" s="1">
        <v>72</v>
      </c>
      <c r="M47" s="1" t="s">
        <v>12</v>
      </c>
      <c r="O47" t="str">
        <f t="shared" si="0"/>
        <v>insert into squaregridwinners values ('PCDWBA',2024,7,2,2,14,19,319,5,2,75,72,'Y');</v>
      </c>
    </row>
    <row r="48" spans="1:15" x14ac:dyDescent="0.3">
      <c r="A48" t="s">
        <v>11</v>
      </c>
      <c r="B48" s="1">
        <v>2024</v>
      </c>
      <c r="C48" s="1">
        <v>7</v>
      </c>
      <c r="D48" s="1">
        <v>2</v>
      </c>
      <c r="E48" s="1">
        <v>2</v>
      </c>
      <c r="F48" s="1">
        <v>15</v>
      </c>
      <c r="G48" s="1">
        <v>58</v>
      </c>
      <c r="H48" s="1">
        <v>266</v>
      </c>
      <c r="I48" s="1">
        <f t="shared" si="1"/>
        <v>2</v>
      </c>
      <c r="J48" s="1">
        <f t="shared" si="2"/>
        <v>4</v>
      </c>
      <c r="K48" s="1">
        <v>72</v>
      </c>
      <c r="L48" s="1">
        <v>64</v>
      </c>
      <c r="M48" s="1" t="s">
        <v>12</v>
      </c>
      <c r="O48" t="str">
        <f t="shared" si="0"/>
        <v>insert into squaregridwinners values ('PCDWBA',2024,7,2,2,15,58,266,2,4,72,64,'Y');</v>
      </c>
    </row>
    <row r="49" spans="1:15" x14ac:dyDescent="0.3">
      <c r="A49" t="s">
        <v>11</v>
      </c>
      <c r="B49" s="1">
        <v>2024</v>
      </c>
      <c r="C49" s="1">
        <v>7</v>
      </c>
      <c r="D49" s="1">
        <v>2</v>
      </c>
      <c r="E49" s="1">
        <v>2</v>
      </c>
      <c r="F49" s="1">
        <v>16</v>
      </c>
      <c r="G49" s="1">
        <v>72</v>
      </c>
      <c r="H49" s="1">
        <v>203</v>
      </c>
      <c r="I49" s="1">
        <f t="shared" si="1"/>
        <v>5</v>
      </c>
      <c r="J49" s="1">
        <f t="shared" si="2"/>
        <v>3</v>
      </c>
      <c r="K49" s="1">
        <v>75</v>
      </c>
      <c r="L49" s="1">
        <v>63</v>
      </c>
      <c r="M49" s="1" t="s">
        <v>12</v>
      </c>
      <c r="O49" t="str">
        <f t="shared" si="0"/>
        <v>insert into squaregridwinners values ('PCDWBA',2024,7,2,2,16,72,203,5,3,75,63,'Y');</v>
      </c>
    </row>
    <row r="50" spans="1:15" x14ac:dyDescent="0.3">
      <c r="A50" t="s">
        <v>11</v>
      </c>
      <c r="B50" s="1">
        <v>2024</v>
      </c>
      <c r="C50" s="1">
        <v>7</v>
      </c>
      <c r="D50" s="1">
        <v>2</v>
      </c>
      <c r="E50" s="1">
        <v>3</v>
      </c>
      <c r="F50" s="1">
        <v>1</v>
      </c>
      <c r="G50" s="1">
        <v>250</v>
      </c>
      <c r="H50" s="1">
        <v>117</v>
      </c>
      <c r="I50" s="1">
        <f t="shared" si="1"/>
        <v>9</v>
      </c>
      <c r="J50" s="1">
        <f t="shared" si="2"/>
        <v>5</v>
      </c>
      <c r="K50" s="1">
        <v>79</v>
      </c>
      <c r="L50" s="1">
        <v>75</v>
      </c>
      <c r="M50" s="1" t="s">
        <v>12</v>
      </c>
      <c r="O50" t="str">
        <f t="shared" si="0"/>
        <v>insert into squaregridwinners values ('PCDWBA',2024,7,2,3,1,250,117,9,5,79,75,'Y');</v>
      </c>
    </row>
    <row r="51" spans="1:15" x14ac:dyDescent="0.3">
      <c r="A51" t="s">
        <v>11</v>
      </c>
      <c r="B51" s="1">
        <v>2024</v>
      </c>
      <c r="C51" s="1">
        <v>7</v>
      </c>
      <c r="D51" s="1">
        <v>2</v>
      </c>
      <c r="E51" s="1">
        <v>3</v>
      </c>
      <c r="F51" s="1">
        <v>2</v>
      </c>
      <c r="G51" s="1">
        <v>210</v>
      </c>
      <c r="H51" s="1">
        <v>201</v>
      </c>
      <c r="I51" s="1">
        <f t="shared" si="1"/>
        <v>0</v>
      </c>
      <c r="J51" s="1">
        <f t="shared" si="2"/>
        <v>5</v>
      </c>
      <c r="K51" s="1">
        <v>70</v>
      </c>
      <c r="L51" s="1">
        <v>65</v>
      </c>
      <c r="M51" s="1" t="s">
        <v>12</v>
      </c>
      <c r="O51" t="str">
        <f t="shared" si="0"/>
        <v>insert into squaregridwinners values ('PCDWBA',2024,7,2,3,2,210,201,0,5,70,65,'Y');</v>
      </c>
    </row>
    <row r="52" spans="1:15" x14ac:dyDescent="0.3">
      <c r="A52" t="s">
        <v>11</v>
      </c>
      <c r="B52" s="1">
        <v>2024</v>
      </c>
      <c r="C52" s="1">
        <v>7</v>
      </c>
      <c r="D52" s="1">
        <v>2</v>
      </c>
      <c r="E52" s="1">
        <v>3</v>
      </c>
      <c r="F52" s="1">
        <v>3</v>
      </c>
      <c r="G52" s="1">
        <v>120</v>
      </c>
      <c r="H52" s="1">
        <v>55</v>
      </c>
      <c r="I52" s="1">
        <f t="shared" si="1"/>
        <v>9</v>
      </c>
      <c r="J52" s="1">
        <f t="shared" si="2"/>
        <v>8</v>
      </c>
      <c r="K52" s="1">
        <v>89</v>
      </c>
      <c r="L52" s="1">
        <v>68</v>
      </c>
      <c r="M52" s="1" t="s">
        <v>12</v>
      </c>
      <c r="O52" t="str">
        <f t="shared" si="0"/>
        <v>insert into squaregridwinners values ('PCDWBA',2024,7,2,3,3,120,55,9,8,89,68,'Y');</v>
      </c>
    </row>
    <row r="53" spans="1:15" x14ac:dyDescent="0.3">
      <c r="A53" t="s">
        <v>11</v>
      </c>
      <c r="B53" s="1">
        <v>2024</v>
      </c>
      <c r="C53" s="1">
        <v>7</v>
      </c>
      <c r="D53" s="1">
        <v>2</v>
      </c>
      <c r="E53" s="1">
        <v>3</v>
      </c>
      <c r="F53" s="1">
        <v>4</v>
      </c>
      <c r="G53" s="1">
        <v>148</v>
      </c>
      <c r="H53" s="1">
        <v>290</v>
      </c>
      <c r="I53" s="1">
        <f t="shared" si="1"/>
        <v>8</v>
      </c>
      <c r="J53" s="1">
        <f t="shared" si="2"/>
        <v>9</v>
      </c>
      <c r="K53" s="1">
        <v>78</v>
      </c>
      <c r="L53" s="1">
        <v>69</v>
      </c>
      <c r="M53" s="1" t="s">
        <v>12</v>
      </c>
      <c r="O53" t="str">
        <f t="shared" si="0"/>
        <v>insert into squaregridwinners values ('PCDWBA',2024,7,2,3,4,148,290,8,9,78,69,'Y');</v>
      </c>
    </row>
    <row r="54" spans="1:15" x14ac:dyDescent="0.3">
      <c r="A54" t="s">
        <v>11</v>
      </c>
      <c r="B54" s="1">
        <v>2024</v>
      </c>
      <c r="C54" s="1">
        <v>7</v>
      </c>
      <c r="D54" s="1">
        <v>2</v>
      </c>
      <c r="E54" s="1">
        <v>3</v>
      </c>
      <c r="F54" s="1">
        <v>5</v>
      </c>
      <c r="G54" s="1">
        <v>273</v>
      </c>
      <c r="H54" s="1">
        <v>101</v>
      </c>
      <c r="I54" s="1">
        <f t="shared" si="1"/>
        <v>9</v>
      </c>
      <c r="J54" s="1">
        <f t="shared" si="2"/>
        <v>7</v>
      </c>
      <c r="K54" s="1">
        <v>69</v>
      </c>
      <c r="L54" s="1">
        <v>47</v>
      </c>
      <c r="M54" s="1" t="s">
        <v>12</v>
      </c>
      <c r="O54" t="str">
        <f t="shared" ref="O54" si="3">CONCATENATE("insert into squaregridwinners values ('",A54,"',",B54,",",C54,",",D54,",",E54,",",F54,",",G54,",",H54,",",I54,",",J54,",",K54,",",L54,",'",M54,"');")</f>
        <v>insert into squaregridwinners values ('PCDWBA',2024,7,2,3,5,273,101,9,7,69,47,'Y');</v>
      </c>
    </row>
    <row r="55" spans="1:15" x14ac:dyDescent="0.3">
      <c r="A55" t="s">
        <v>11</v>
      </c>
      <c r="B55" s="1">
        <v>2024</v>
      </c>
      <c r="C55" s="1">
        <v>7</v>
      </c>
      <c r="D55" s="1">
        <v>2</v>
      </c>
      <c r="E55" s="1">
        <v>3</v>
      </c>
      <c r="F55" s="1">
        <v>6</v>
      </c>
      <c r="G55" s="1">
        <v>303</v>
      </c>
      <c r="H55" s="1">
        <v>19</v>
      </c>
      <c r="I55" s="1">
        <f t="shared" si="1"/>
        <v>4</v>
      </c>
      <c r="J55" s="1">
        <f t="shared" si="2"/>
        <v>0</v>
      </c>
      <c r="K55" s="1">
        <v>74</v>
      </c>
      <c r="L55" s="1">
        <v>70</v>
      </c>
      <c r="M55" s="1" t="s">
        <v>12</v>
      </c>
      <c r="O55" t="str">
        <f t="shared" si="0"/>
        <v>insert into squaregridwinners values ('PCDWBA',2024,7,2,3,6,303,19,4,0,74,70,'Y');</v>
      </c>
    </row>
    <row r="56" spans="1:15" x14ac:dyDescent="0.3">
      <c r="A56" t="s">
        <v>11</v>
      </c>
      <c r="B56" s="1">
        <v>2024</v>
      </c>
      <c r="C56" s="1">
        <v>7</v>
      </c>
      <c r="D56" s="1">
        <v>2</v>
      </c>
      <c r="E56" s="1">
        <v>3</v>
      </c>
      <c r="F56" s="1">
        <v>7</v>
      </c>
      <c r="G56" s="1">
        <v>58</v>
      </c>
      <c r="H56" s="1">
        <v>72</v>
      </c>
      <c r="I56" s="1">
        <f t="shared" si="1"/>
        <v>3</v>
      </c>
      <c r="J56" s="1">
        <f t="shared" si="2"/>
        <v>5</v>
      </c>
      <c r="K56" s="1">
        <v>53</v>
      </c>
      <c r="L56" s="1">
        <v>45</v>
      </c>
      <c r="M56" s="1" t="s">
        <v>12</v>
      </c>
      <c r="O56" t="str">
        <f t="shared" si="0"/>
        <v>insert into squaregridwinners values ('PCDWBA',2024,7,2,3,7,58,72,3,5,53,45,'Y');</v>
      </c>
    </row>
    <row r="57" spans="1:15" x14ac:dyDescent="0.3">
      <c r="A57" t="s">
        <v>11</v>
      </c>
      <c r="B57" s="1">
        <v>2024</v>
      </c>
      <c r="C57" s="1">
        <v>7</v>
      </c>
      <c r="D57" s="1">
        <v>2</v>
      </c>
      <c r="E57" s="1">
        <v>3</v>
      </c>
      <c r="F57" s="1">
        <v>8</v>
      </c>
      <c r="G57" s="1">
        <v>191</v>
      </c>
      <c r="H57" s="1">
        <v>262</v>
      </c>
      <c r="I57" s="1">
        <f t="shared" si="1"/>
        <v>7</v>
      </c>
      <c r="J57" s="1">
        <f t="shared" si="2"/>
        <v>7</v>
      </c>
      <c r="K57" s="1">
        <v>77</v>
      </c>
      <c r="L57" s="1">
        <v>67</v>
      </c>
      <c r="M57" s="1" t="s">
        <v>12</v>
      </c>
      <c r="O57" t="str">
        <f t="shared" si="0"/>
        <v>insert into squaregridwinners values ('PCDWBA',2024,7,2,3,8,191,262,7,7,77,67,'Y');</v>
      </c>
    </row>
    <row r="58" spans="1:15" x14ac:dyDescent="0.3">
      <c r="A58" t="s">
        <v>11</v>
      </c>
      <c r="B58" s="1">
        <v>2024</v>
      </c>
      <c r="C58" s="1">
        <v>7</v>
      </c>
      <c r="D58" s="1">
        <v>2</v>
      </c>
      <c r="E58" s="1">
        <v>4</v>
      </c>
      <c r="F58" s="1">
        <v>1</v>
      </c>
      <c r="G58" s="1">
        <v>250</v>
      </c>
      <c r="H58" s="1">
        <v>210</v>
      </c>
      <c r="I58" s="1">
        <f t="shared" ref="I58:I61" si="4">MOD(K58,10)</f>
        <v>0</v>
      </c>
      <c r="J58" s="1">
        <f t="shared" ref="J58:J61" si="5">MOD(L58,10)</f>
        <v>8</v>
      </c>
      <c r="K58" s="1">
        <v>70</v>
      </c>
      <c r="L58" s="1">
        <v>58</v>
      </c>
      <c r="M58" s="1" t="s">
        <v>12</v>
      </c>
      <c r="O58" t="str">
        <f t="shared" ref="O58:O61" si="6">CONCATENATE("insert into squaregridwinners values ('",A58,"',",B58,",",C58,",",D58,",",E58,",",F58,",",G58,",",H58,",",I58,",",J58,",",K58,",",L58,",'",M58,"');")</f>
        <v>insert into squaregridwinners values ('PCDWBA',2024,7,2,4,1,250,210,0,8,70,58,'Y');</v>
      </c>
    </row>
    <row r="59" spans="1:15" x14ac:dyDescent="0.3">
      <c r="A59" t="s">
        <v>11</v>
      </c>
      <c r="B59" s="1">
        <v>2024</v>
      </c>
      <c r="C59" s="1">
        <v>7</v>
      </c>
      <c r="D59" s="1">
        <v>2</v>
      </c>
      <c r="E59" s="1">
        <v>4</v>
      </c>
      <c r="F59" s="1">
        <v>2</v>
      </c>
      <c r="G59" s="1">
        <v>191</v>
      </c>
      <c r="H59" s="1">
        <v>273</v>
      </c>
      <c r="I59" s="1">
        <f t="shared" si="4"/>
        <v>6</v>
      </c>
      <c r="J59" s="1">
        <f t="shared" si="5"/>
        <v>6</v>
      </c>
      <c r="K59" s="1">
        <v>76</v>
      </c>
      <c r="L59" s="1">
        <v>66</v>
      </c>
      <c r="M59" s="1" t="s">
        <v>12</v>
      </c>
      <c r="O59" t="str">
        <f t="shared" si="6"/>
        <v>insert into squaregridwinners values ('PCDWBA',2024,7,2,4,2,191,273,6,6,76,66,'Y');</v>
      </c>
    </row>
    <row r="60" spans="1:15" x14ac:dyDescent="0.3">
      <c r="A60" t="s">
        <v>11</v>
      </c>
      <c r="B60" s="1">
        <v>2024</v>
      </c>
      <c r="C60" s="1">
        <v>7</v>
      </c>
      <c r="D60" s="1">
        <v>2</v>
      </c>
      <c r="E60" s="1">
        <v>4</v>
      </c>
      <c r="F60" s="1">
        <v>3</v>
      </c>
      <c r="G60" s="1">
        <v>58</v>
      </c>
      <c r="H60" s="1">
        <v>303</v>
      </c>
      <c r="I60" s="1">
        <f t="shared" si="4"/>
        <v>0</v>
      </c>
      <c r="J60" s="1">
        <f t="shared" si="5"/>
        <v>3</v>
      </c>
      <c r="K60" s="1">
        <v>80</v>
      </c>
      <c r="L60" s="1">
        <v>73</v>
      </c>
      <c r="M60" s="1" t="s">
        <v>12</v>
      </c>
      <c r="O60" t="str">
        <f t="shared" si="6"/>
        <v>insert into squaregridwinners values ('PCDWBA',2024,7,2,4,3,58,303,0,3,80,73,'Y');</v>
      </c>
    </row>
    <row r="61" spans="1:15" x14ac:dyDescent="0.3">
      <c r="A61" t="s">
        <v>11</v>
      </c>
      <c r="B61" s="1">
        <v>2024</v>
      </c>
      <c r="C61" s="1">
        <v>7</v>
      </c>
      <c r="D61" s="1">
        <v>2</v>
      </c>
      <c r="E61" s="1">
        <v>4</v>
      </c>
      <c r="F61" s="1">
        <v>4</v>
      </c>
      <c r="G61" s="1">
        <v>120</v>
      </c>
      <c r="H61" s="1">
        <v>148</v>
      </c>
      <c r="I61" s="1">
        <f t="shared" si="4"/>
        <v>4</v>
      </c>
      <c r="J61" s="1">
        <f t="shared" si="5"/>
        <v>7</v>
      </c>
      <c r="K61" s="1">
        <v>94</v>
      </c>
      <c r="L61" s="1">
        <v>87</v>
      </c>
      <c r="M61" s="1" t="s">
        <v>12</v>
      </c>
      <c r="O61" t="str">
        <f t="shared" si="6"/>
        <v>insert into squaregridwinners values ('PCDWBA',2024,7,2,4,4,120,148,4,7,94,87,'Y');</v>
      </c>
    </row>
    <row r="62" spans="1:15" x14ac:dyDescent="0.3">
      <c r="A62" t="s">
        <v>11</v>
      </c>
      <c r="B62" s="1">
        <v>2024</v>
      </c>
      <c r="C62" s="1">
        <v>7</v>
      </c>
      <c r="D62" s="1">
        <v>2</v>
      </c>
      <c r="E62" s="1">
        <v>5</v>
      </c>
      <c r="F62" s="1">
        <v>1</v>
      </c>
      <c r="G62" s="1">
        <v>250</v>
      </c>
      <c r="H62" s="1">
        <v>191</v>
      </c>
      <c r="I62" s="1">
        <f t="shared" ref="I62:I63" si="7">MOD(K62,10)</f>
        <v>8</v>
      </c>
      <c r="J62" s="1">
        <f t="shared" ref="J62:J63" si="8">MOD(L62,10)</f>
        <v>9</v>
      </c>
      <c r="K62" s="1">
        <v>78</v>
      </c>
      <c r="L62" s="1">
        <v>59</v>
      </c>
      <c r="M62" s="1" t="s">
        <v>12</v>
      </c>
      <c r="O62" t="str">
        <f t="shared" ref="O62:O63" si="9">CONCATENATE("insert into squaregridwinners values ('",A62,"',",B62,",",C62,",",D62,",",E62,",",F62,",",G62,",",H62,",",I62,",",J62,",",K62,",",L62,",'",M62,"');")</f>
        <v>insert into squaregridwinners values ('PCDWBA',2024,7,2,5,1,250,191,8,9,78,59,'Y');</v>
      </c>
    </row>
    <row r="63" spans="1:15" x14ac:dyDescent="0.3">
      <c r="A63" t="s">
        <v>11</v>
      </c>
      <c r="B63" s="1">
        <v>2024</v>
      </c>
      <c r="C63" s="1">
        <v>7</v>
      </c>
      <c r="D63" s="1">
        <v>2</v>
      </c>
      <c r="E63" s="1">
        <v>5</v>
      </c>
      <c r="F63" s="1">
        <v>2</v>
      </c>
      <c r="G63" s="1">
        <v>120</v>
      </c>
      <c r="H63" s="1">
        <v>58</v>
      </c>
      <c r="I63" s="1">
        <f t="shared" si="7"/>
        <v>1</v>
      </c>
      <c r="J63" s="1">
        <f t="shared" si="8"/>
        <v>9</v>
      </c>
      <c r="K63" s="1">
        <v>71</v>
      </c>
      <c r="L63" s="1">
        <v>69</v>
      </c>
      <c r="M63" s="1" t="s">
        <v>12</v>
      </c>
      <c r="O63" t="str">
        <f t="shared" si="9"/>
        <v>insert into squaregridwinners values ('PCDWBA',2024,7,2,5,2,120,58,1,9,71,69,'Y');</v>
      </c>
    </row>
    <row r="64" spans="1:15" x14ac:dyDescent="0.3">
      <c r="A64" t="s">
        <v>11</v>
      </c>
      <c r="B64" s="1">
        <v>2024</v>
      </c>
      <c r="C64" s="1">
        <v>7</v>
      </c>
      <c r="D64" s="1">
        <v>2</v>
      </c>
      <c r="E64" s="1">
        <v>6</v>
      </c>
      <c r="F64" s="1">
        <v>1</v>
      </c>
      <c r="G64" s="1">
        <v>250</v>
      </c>
      <c r="H64" s="1">
        <v>120</v>
      </c>
      <c r="I64" s="1">
        <f t="shared" ref="I64" si="10">MOD(K64,10)</f>
        <v>7</v>
      </c>
      <c r="J64" s="1">
        <f t="shared" ref="J64" si="11">MOD(L64,10)</f>
        <v>5</v>
      </c>
      <c r="K64" s="1">
        <v>87</v>
      </c>
      <c r="L64" s="1">
        <v>75</v>
      </c>
      <c r="M64" s="1" t="s">
        <v>12</v>
      </c>
      <c r="O64" t="str">
        <f t="shared" ref="O64" si="12">CONCATENATE("insert into squaregridwinners values ('",A64,"',",B64,",",C64,",",D64,",",E64,",",F64,",",G64,",",H64,",",I64,",",J64,",",K64,",",L64,",'",M64,"');")</f>
        <v>insert into squaregridwinners values ('PCDWBA',2024,7,2,6,1,250,120,7,5,87,75,'Y');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FDD97-BC83-44CF-8AA5-DF827979F5EC}">
  <dimension ref="A1:O64"/>
  <sheetViews>
    <sheetView topLeftCell="A45" workbookViewId="0">
      <selection activeCell="G64" sqref="G64:L64"/>
    </sheetView>
  </sheetViews>
  <sheetFormatPr defaultRowHeight="14.4" x14ac:dyDescent="0.3"/>
  <cols>
    <col min="1" max="1" width="14" bestFit="1" customWidth="1"/>
    <col min="2" max="2" width="10.5546875" style="1" bestFit="1" customWidth="1"/>
    <col min="3" max="3" width="11.6640625" style="1" bestFit="1" customWidth="1"/>
    <col min="4" max="4" width="10" style="1" bestFit="1" customWidth="1"/>
    <col min="5" max="5" width="9.5546875" style="1" bestFit="1" customWidth="1"/>
    <col min="6" max="6" width="8.6640625" style="1" bestFit="1" customWidth="1"/>
    <col min="7" max="8" width="12.6640625" style="1" customWidth="1"/>
    <col min="9" max="10" width="9.6640625" style="1" bestFit="1" customWidth="1"/>
    <col min="11" max="11" width="11" style="1" bestFit="1" customWidth="1"/>
    <col min="12" max="12" width="11.109375" style="1" bestFit="1" customWidth="1"/>
    <col min="13" max="13" width="8.5546875" style="1" bestFit="1" customWidth="1"/>
  </cols>
  <sheetData>
    <row r="1" spans="1:1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  <c r="H1" s="1" t="s">
        <v>14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5" x14ac:dyDescent="0.3">
      <c r="A2" t="s">
        <v>380</v>
      </c>
      <c r="B2" s="1">
        <v>2024</v>
      </c>
      <c r="C2" s="1">
        <v>6</v>
      </c>
      <c r="D2" s="1">
        <v>1</v>
      </c>
      <c r="E2" s="1">
        <v>1</v>
      </c>
      <c r="F2" s="1">
        <v>1</v>
      </c>
      <c r="G2" s="1">
        <v>161</v>
      </c>
      <c r="H2" s="1">
        <v>166</v>
      </c>
      <c r="I2" s="1">
        <v>9</v>
      </c>
      <c r="J2" s="1">
        <v>1</v>
      </c>
      <c r="K2" s="1">
        <v>69</v>
      </c>
      <c r="L2" s="1">
        <v>51</v>
      </c>
      <c r="M2" s="1" t="s">
        <v>12</v>
      </c>
      <c r="O2" t="str">
        <f>CONCATENATE("update squaregridwinners set WinningTeam = ",G2,", LosingTeam = ",H2," where BusinessUnit = '",A2,"' and YearPick = ",B2," and EventType = ",C2," and PoolNbr = ",D2," and Quarter = ",E2," and SeqNo = ",F2,";")</f>
        <v>update squaregridwinners set WinningTeam = 161, LosingTeam = 166 where BusinessUnit = 'SCDDGC' and YearPick = 2024 and EventType = 6 and PoolNbr = 1 and Quarter = 1 and SeqNo = 1;</v>
      </c>
    </row>
    <row r="3" spans="1:15" x14ac:dyDescent="0.3">
      <c r="A3" t="s">
        <v>380</v>
      </c>
      <c r="B3" s="1">
        <v>2024</v>
      </c>
      <c r="C3" s="1">
        <v>6</v>
      </c>
      <c r="D3" s="1">
        <v>1</v>
      </c>
      <c r="E3" s="1">
        <v>1</v>
      </c>
      <c r="F3" s="1">
        <v>2</v>
      </c>
      <c r="G3" s="1">
        <v>73</v>
      </c>
      <c r="H3" s="1">
        <v>32</v>
      </c>
      <c r="I3" s="1">
        <v>1</v>
      </c>
      <c r="J3" s="1">
        <v>7</v>
      </c>
      <c r="K3" s="1">
        <v>71</v>
      </c>
      <c r="L3" s="1">
        <v>67</v>
      </c>
      <c r="M3" s="1" t="s">
        <v>12</v>
      </c>
      <c r="O3" t="str">
        <f>CONCATENATE("update squaregridwinners set WinningTeam = ",G3,", LosingTeam = ",H3," where BusinessUnit = '",A3,"' and YearPick = ",B3," and EventType = ",C3," and PoolNbr = ",D3," and Quarter = ",E3," and SeqNo = ",F3,";")</f>
        <v>update squaregridwinners set WinningTeam = 73, LosingTeam = 32 where BusinessUnit = 'SCDDGC' and YearPick = 2024 and EventType = 6 and PoolNbr = 1 and Quarter = 1 and SeqNo = 2;</v>
      </c>
    </row>
    <row r="4" spans="1:15" x14ac:dyDescent="0.3">
      <c r="A4" t="s">
        <v>380</v>
      </c>
      <c r="B4" s="1">
        <v>2024</v>
      </c>
      <c r="C4" s="1">
        <v>6</v>
      </c>
      <c r="D4" s="1">
        <v>1</v>
      </c>
      <c r="E4" s="1">
        <v>1</v>
      </c>
      <c r="F4" s="1">
        <v>3</v>
      </c>
      <c r="G4" s="1">
        <v>61</v>
      </c>
      <c r="H4" s="1">
        <v>2</v>
      </c>
      <c r="I4" s="1">
        <v>7</v>
      </c>
      <c r="J4" s="1">
        <v>0</v>
      </c>
      <c r="K4" s="1">
        <v>77</v>
      </c>
      <c r="L4" s="1">
        <v>60</v>
      </c>
      <c r="M4" s="1" t="s">
        <v>12</v>
      </c>
      <c r="O4" t="str">
        <f t="shared" ref="O4:O53" si="0">CONCATENATE("update squaregridwinners set WinningTeam = ",G4,", LosingTeam = ",H4," where BusinessUnit = '",A4,"' and YearPick = ",B4," and EventType = ",C4," and PoolNbr = ",D4," and Quarter = ",E4," and SeqNo = ",F4,";")</f>
        <v>update squaregridwinners set WinningTeam = 61, LosingTeam = 2 where BusinessUnit = 'SCDDGC' and YearPick = 2024 and EventType = 6 and PoolNbr = 1 and Quarter = 1 and SeqNo = 3;</v>
      </c>
    </row>
    <row r="5" spans="1:15" x14ac:dyDescent="0.3">
      <c r="A5" t="s">
        <v>380</v>
      </c>
      <c r="B5" s="1">
        <v>2024</v>
      </c>
      <c r="C5" s="1">
        <v>6</v>
      </c>
      <c r="D5" s="1">
        <v>1</v>
      </c>
      <c r="E5" s="1">
        <v>1</v>
      </c>
      <c r="F5" s="1">
        <v>4</v>
      </c>
      <c r="G5" s="1">
        <v>10</v>
      </c>
      <c r="H5" s="1">
        <v>140</v>
      </c>
      <c r="I5" s="1">
        <v>5</v>
      </c>
      <c r="J5" s="1">
        <v>5</v>
      </c>
      <c r="K5" s="1">
        <v>85</v>
      </c>
      <c r="L5" s="1">
        <v>65</v>
      </c>
      <c r="M5" s="1" t="s">
        <v>12</v>
      </c>
      <c r="O5" t="str">
        <f t="shared" si="0"/>
        <v>update squaregridwinners set WinningTeam = 10, LosingTeam = 140 where BusinessUnit = 'SCDDGC' and YearPick = 2024 and EventType = 6 and PoolNbr = 1 and Quarter = 1 and SeqNo = 4;</v>
      </c>
    </row>
    <row r="6" spans="1:15" x14ac:dyDescent="0.3">
      <c r="A6" t="s">
        <v>380</v>
      </c>
      <c r="B6" s="1">
        <v>2024</v>
      </c>
      <c r="C6" s="1">
        <v>6</v>
      </c>
      <c r="D6" s="1">
        <v>1</v>
      </c>
      <c r="E6" s="1">
        <v>1</v>
      </c>
      <c r="F6" s="1">
        <v>5</v>
      </c>
      <c r="G6" s="1">
        <v>186</v>
      </c>
      <c r="H6" s="1">
        <v>321</v>
      </c>
      <c r="I6" s="1">
        <v>0</v>
      </c>
      <c r="J6" s="1">
        <v>2</v>
      </c>
      <c r="K6" s="1">
        <v>90</v>
      </c>
      <c r="L6" s="1">
        <v>62</v>
      </c>
      <c r="M6" s="1" t="s">
        <v>12</v>
      </c>
      <c r="O6" t="str">
        <f t="shared" si="0"/>
        <v>update squaregridwinners set WinningTeam = 186, LosingTeam = 321 where BusinessUnit = 'SCDDGC' and YearPick = 2024 and EventType = 6 and PoolNbr = 1 and Quarter = 1 and SeqNo = 5;</v>
      </c>
    </row>
    <row r="7" spans="1:15" x14ac:dyDescent="0.3">
      <c r="A7" t="s">
        <v>380</v>
      </c>
      <c r="B7" s="1">
        <v>2024</v>
      </c>
      <c r="C7" s="1">
        <v>6</v>
      </c>
      <c r="D7" s="1">
        <v>1</v>
      </c>
      <c r="E7" s="1">
        <v>1</v>
      </c>
      <c r="F7" s="1">
        <v>6</v>
      </c>
      <c r="G7" s="1">
        <v>115</v>
      </c>
      <c r="H7" s="1">
        <v>173</v>
      </c>
      <c r="I7" s="1">
        <v>5</v>
      </c>
      <c r="J7" s="1">
        <v>9</v>
      </c>
      <c r="K7" s="1">
        <v>85</v>
      </c>
      <c r="L7" s="1">
        <v>69</v>
      </c>
      <c r="M7" s="1" t="s">
        <v>12</v>
      </c>
      <c r="O7" t="str">
        <f t="shared" si="0"/>
        <v>update squaregridwinners set WinningTeam = 115, LosingTeam = 173 where BusinessUnit = 'SCDDGC' and YearPick = 2024 and EventType = 6 and PoolNbr = 1 and Quarter = 1 and SeqNo = 6;</v>
      </c>
    </row>
    <row r="8" spans="1:15" x14ac:dyDescent="0.3">
      <c r="A8" t="s">
        <v>380</v>
      </c>
      <c r="B8" s="1">
        <v>2024</v>
      </c>
      <c r="C8" s="1">
        <v>6</v>
      </c>
      <c r="D8" s="1">
        <v>1</v>
      </c>
      <c r="E8" s="1">
        <v>1</v>
      </c>
      <c r="F8" s="1">
        <v>7</v>
      </c>
      <c r="G8" s="1">
        <v>209</v>
      </c>
      <c r="H8" s="1">
        <v>250</v>
      </c>
      <c r="I8" s="1">
        <v>7</v>
      </c>
      <c r="J8" s="1">
        <v>3</v>
      </c>
      <c r="K8" s="1">
        <v>87</v>
      </c>
      <c r="L8" s="1">
        <v>73</v>
      </c>
      <c r="M8" s="1" t="s">
        <v>12</v>
      </c>
      <c r="O8" t="str">
        <f t="shared" si="0"/>
        <v>update squaregridwinners set WinningTeam = 209, LosingTeam = 250 where BusinessUnit = 'SCDDGC' and YearPick = 2024 and EventType = 6 and PoolNbr = 1 and Quarter = 1 and SeqNo = 7;</v>
      </c>
    </row>
    <row r="9" spans="1:15" x14ac:dyDescent="0.3">
      <c r="A9" t="s">
        <v>380</v>
      </c>
      <c r="B9" s="1">
        <v>2024</v>
      </c>
      <c r="C9" s="1">
        <v>6</v>
      </c>
      <c r="D9" s="1">
        <v>1</v>
      </c>
      <c r="E9" s="1">
        <v>1</v>
      </c>
      <c r="F9" s="1">
        <v>8</v>
      </c>
      <c r="G9" s="1">
        <v>64</v>
      </c>
      <c r="H9" s="1">
        <v>179</v>
      </c>
      <c r="I9" s="1">
        <v>3</v>
      </c>
      <c r="J9" s="1">
        <v>0</v>
      </c>
      <c r="K9" s="1">
        <v>63</v>
      </c>
      <c r="L9" s="1">
        <v>60</v>
      </c>
      <c r="M9" s="1" t="s">
        <v>12</v>
      </c>
      <c r="O9" t="str">
        <f t="shared" si="0"/>
        <v>update squaregridwinners set WinningTeam = 64, LosingTeam = 179 where BusinessUnit = 'SCDDGC' and YearPick = 2024 and EventType = 6 and PoolNbr = 1 and Quarter = 1 and SeqNo = 8;</v>
      </c>
    </row>
    <row r="10" spans="1:15" x14ac:dyDescent="0.3">
      <c r="A10" t="s">
        <v>380</v>
      </c>
      <c r="B10" s="1">
        <v>2024</v>
      </c>
      <c r="C10" s="1">
        <v>6</v>
      </c>
      <c r="D10" s="1">
        <v>1</v>
      </c>
      <c r="E10" s="1">
        <v>1</v>
      </c>
      <c r="F10" s="1">
        <v>9</v>
      </c>
      <c r="G10" s="1">
        <v>273</v>
      </c>
      <c r="H10" s="1">
        <v>56</v>
      </c>
      <c r="I10" s="1">
        <v>6</v>
      </c>
      <c r="J10" s="1">
        <v>4</v>
      </c>
      <c r="K10" s="1">
        <v>56</v>
      </c>
      <c r="L10" s="1">
        <v>44</v>
      </c>
      <c r="M10" s="1" t="s">
        <v>12</v>
      </c>
      <c r="O10" t="str">
        <f t="shared" si="0"/>
        <v>update squaregridwinners set WinningTeam = 273, LosingTeam = 56 where BusinessUnit = 'SCDDGC' and YearPick = 2024 and EventType = 6 and PoolNbr = 1 and Quarter = 1 and SeqNo = 9;</v>
      </c>
    </row>
    <row r="11" spans="1:15" x14ac:dyDescent="0.3">
      <c r="A11" t="s">
        <v>380</v>
      </c>
      <c r="B11" s="1">
        <v>2024</v>
      </c>
      <c r="C11" s="1">
        <v>6</v>
      </c>
      <c r="D11" s="1">
        <v>1</v>
      </c>
      <c r="E11" s="1">
        <v>1</v>
      </c>
      <c r="F11" s="1">
        <v>10</v>
      </c>
      <c r="G11" s="1">
        <v>202</v>
      </c>
      <c r="H11" s="1">
        <v>132</v>
      </c>
      <c r="I11" s="1">
        <v>0</v>
      </c>
      <c r="J11" s="1">
        <v>6</v>
      </c>
      <c r="K11" s="1">
        <v>80</v>
      </c>
      <c r="L11" s="1">
        <v>76</v>
      </c>
      <c r="M11" s="1" t="s">
        <v>12</v>
      </c>
      <c r="O11" t="str">
        <f t="shared" si="0"/>
        <v>update squaregridwinners set WinningTeam = 202, LosingTeam = 132 where BusinessUnit = 'SCDDGC' and YearPick = 2024 and EventType = 6 and PoolNbr = 1 and Quarter = 1 and SeqNo = 10;</v>
      </c>
    </row>
    <row r="12" spans="1:15" x14ac:dyDescent="0.3">
      <c r="A12" t="s">
        <v>380</v>
      </c>
      <c r="B12" s="1">
        <v>2024</v>
      </c>
      <c r="C12" s="1">
        <v>6</v>
      </c>
      <c r="D12" s="1">
        <v>1</v>
      </c>
      <c r="E12" s="1">
        <v>1</v>
      </c>
      <c r="F12" s="1">
        <v>11</v>
      </c>
      <c r="G12" s="1">
        <v>121</v>
      </c>
      <c r="H12" s="1">
        <v>252</v>
      </c>
      <c r="I12" s="1">
        <v>2</v>
      </c>
      <c r="J12" s="1">
        <v>5</v>
      </c>
      <c r="K12" s="1">
        <v>82</v>
      </c>
      <c r="L12" s="1">
        <v>65</v>
      </c>
      <c r="M12" s="1" t="s">
        <v>12</v>
      </c>
      <c r="O12" t="str">
        <f t="shared" si="0"/>
        <v>update squaregridwinners set WinningTeam = 121, LosingTeam = 252 where BusinessUnit = 'SCDDGC' and YearPick = 2024 and EventType = 6 and PoolNbr = 1 and Quarter = 1 and SeqNo = 11;</v>
      </c>
    </row>
    <row r="13" spans="1:15" x14ac:dyDescent="0.3">
      <c r="A13" t="s">
        <v>380</v>
      </c>
      <c r="B13" s="1">
        <v>2024</v>
      </c>
      <c r="C13" s="1">
        <v>6</v>
      </c>
      <c r="D13" s="1">
        <v>1</v>
      </c>
      <c r="E13" s="1">
        <v>1</v>
      </c>
      <c r="F13" s="1">
        <v>12</v>
      </c>
      <c r="G13" s="1">
        <v>101</v>
      </c>
      <c r="H13" s="1">
        <v>155</v>
      </c>
      <c r="I13" s="1">
        <v>6</v>
      </c>
      <c r="J13" s="1">
        <v>5</v>
      </c>
      <c r="K13" s="1">
        <v>86</v>
      </c>
      <c r="L13" s="1">
        <v>65</v>
      </c>
      <c r="M13" s="1" t="s">
        <v>12</v>
      </c>
      <c r="O13" t="str">
        <f t="shared" si="0"/>
        <v>update squaregridwinners set WinningTeam = 101, LosingTeam = 155 where BusinessUnit = 'SCDDGC' and YearPick = 2024 and EventType = 6 and PoolNbr = 1 and Quarter = 1 and SeqNo = 12;</v>
      </c>
    </row>
    <row r="14" spans="1:15" x14ac:dyDescent="0.3">
      <c r="A14" t="s">
        <v>380</v>
      </c>
      <c r="B14" s="1">
        <v>2024</v>
      </c>
      <c r="C14" s="1">
        <v>6</v>
      </c>
      <c r="D14" s="1">
        <v>1</v>
      </c>
      <c r="E14" s="1">
        <v>1</v>
      </c>
      <c r="F14" s="1">
        <v>13</v>
      </c>
      <c r="G14" s="1">
        <v>269</v>
      </c>
      <c r="H14" s="1">
        <v>237</v>
      </c>
      <c r="I14" s="1">
        <v>3</v>
      </c>
      <c r="J14" s="1">
        <v>9</v>
      </c>
      <c r="K14" s="1">
        <v>83</v>
      </c>
      <c r="L14" s="1">
        <v>49</v>
      </c>
      <c r="M14" s="1" t="s">
        <v>12</v>
      </c>
      <c r="O14" t="str">
        <f t="shared" si="0"/>
        <v>update squaregridwinners set WinningTeam = 269, LosingTeam = 237 where BusinessUnit = 'SCDDGC' and YearPick = 2024 and EventType = 6 and PoolNbr = 1 and Quarter = 1 and SeqNo = 13;</v>
      </c>
    </row>
    <row r="15" spans="1:15" x14ac:dyDescent="0.3">
      <c r="A15" t="s">
        <v>380</v>
      </c>
      <c r="B15" s="1">
        <v>2024</v>
      </c>
      <c r="C15" s="1">
        <v>6</v>
      </c>
      <c r="D15" s="1">
        <v>1</v>
      </c>
      <c r="E15" s="1">
        <v>1</v>
      </c>
      <c r="F15" s="1">
        <v>14</v>
      </c>
      <c r="G15" s="1">
        <v>191</v>
      </c>
      <c r="H15" s="1">
        <v>278</v>
      </c>
      <c r="I15" s="1">
        <v>0</v>
      </c>
      <c r="J15" s="1">
        <v>7</v>
      </c>
      <c r="K15" s="1">
        <v>80</v>
      </c>
      <c r="L15" s="1">
        <v>67</v>
      </c>
      <c r="M15" s="1" t="s">
        <v>12</v>
      </c>
      <c r="O15" t="str">
        <f t="shared" si="0"/>
        <v>update squaregridwinners set WinningTeam = 191, LosingTeam = 278 where BusinessUnit = 'SCDDGC' and YearPick = 2024 and EventType = 6 and PoolNbr = 1 and Quarter = 1 and SeqNo = 14;</v>
      </c>
    </row>
    <row r="16" spans="1:15" x14ac:dyDescent="0.3">
      <c r="A16" t="s">
        <v>380</v>
      </c>
      <c r="B16" s="1">
        <v>2024</v>
      </c>
      <c r="C16" s="1">
        <v>6</v>
      </c>
      <c r="D16" s="1">
        <v>1</v>
      </c>
      <c r="E16" s="1">
        <v>1</v>
      </c>
      <c r="F16" s="1">
        <v>15</v>
      </c>
      <c r="G16" s="1">
        <v>324</v>
      </c>
      <c r="H16" s="1">
        <v>70</v>
      </c>
      <c r="I16" s="1">
        <v>6</v>
      </c>
      <c r="J16" s="1">
        <v>1</v>
      </c>
      <c r="K16" s="1">
        <v>66</v>
      </c>
      <c r="L16" s="1">
        <v>61</v>
      </c>
      <c r="M16" s="1" t="s">
        <v>12</v>
      </c>
      <c r="O16" t="str">
        <f t="shared" si="0"/>
        <v>update squaregridwinners set WinningTeam = 324, LosingTeam = 70 where BusinessUnit = 'SCDDGC' and YearPick = 2024 and EventType = 6 and PoolNbr = 1 and Quarter = 1 and SeqNo = 15;</v>
      </c>
    </row>
    <row r="17" spans="1:15" x14ac:dyDescent="0.3">
      <c r="A17" t="s">
        <v>380</v>
      </c>
      <c r="B17" s="1">
        <v>2024</v>
      </c>
      <c r="C17" s="1">
        <v>6</v>
      </c>
      <c r="D17" s="1">
        <v>1</v>
      </c>
      <c r="E17" s="1">
        <v>1</v>
      </c>
      <c r="F17" s="1">
        <v>16</v>
      </c>
      <c r="G17" s="1">
        <v>128</v>
      </c>
      <c r="H17" s="1">
        <v>239</v>
      </c>
      <c r="I17" s="1">
        <v>3</v>
      </c>
      <c r="J17" s="1">
        <v>9</v>
      </c>
      <c r="K17" s="1">
        <v>93</v>
      </c>
      <c r="L17" s="1">
        <v>89</v>
      </c>
      <c r="M17" s="1" t="s">
        <v>12</v>
      </c>
      <c r="O17" t="str">
        <f t="shared" si="0"/>
        <v>update squaregridwinners set WinningTeam = 128, LosingTeam = 239 where BusinessUnit = 'SCDDGC' and YearPick = 2024 and EventType = 6 and PoolNbr = 1 and Quarter = 1 and SeqNo = 16;</v>
      </c>
    </row>
    <row r="18" spans="1:15" x14ac:dyDescent="0.3">
      <c r="A18" t="s">
        <v>380</v>
      </c>
      <c r="B18" s="1">
        <v>2024</v>
      </c>
      <c r="C18" s="1">
        <v>6</v>
      </c>
      <c r="D18" s="1">
        <v>1</v>
      </c>
      <c r="E18" s="1">
        <v>1</v>
      </c>
      <c r="F18" s="1">
        <v>17</v>
      </c>
      <c r="G18" s="1">
        <v>199</v>
      </c>
      <c r="H18" s="1">
        <v>86</v>
      </c>
      <c r="I18" s="1">
        <v>7</v>
      </c>
      <c r="J18" s="1">
        <v>5</v>
      </c>
      <c r="K18" s="1">
        <v>77</v>
      </c>
      <c r="L18" s="1">
        <v>65</v>
      </c>
      <c r="M18" s="1" t="s">
        <v>12</v>
      </c>
      <c r="O18" t="str">
        <f t="shared" si="0"/>
        <v>update squaregridwinners set WinningTeam = 199, LosingTeam = 86 where BusinessUnit = 'SCDDGC' and YearPick = 2024 and EventType = 6 and PoolNbr = 1 and Quarter = 1 and SeqNo = 17;</v>
      </c>
    </row>
    <row r="19" spans="1:15" x14ac:dyDescent="0.3">
      <c r="A19" t="s">
        <v>380</v>
      </c>
      <c r="B19" s="1">
        <v>2024</v>
      </c>
      <c r="C19" s="1">
        <v>6</v>
      </c>
      <c r="D19" s="1">
        <v>1</v>
      </c>
      <c r="E19" s="1">
        <v>1</v>
      </c>
      <c r="F19" s="1">
        <v>18</v>
      </c>
      <c r="G19" s="1">
        <v>19</v>
      </c>
      <c r="H19" s="1">
        <v>53</v>
      </c>
      <c r="I19" s="1">
        <v>2</v>
      </c>
      <c r="J19" s="1">
        <v>7</v>
      </c>
      <c r="K19" s="1">
        <v>92</v>
      </c>
      <c r="L19" s="1">
        <v>67</v>
      </c>
      <c r="M19" s="1" t="s">
        <v>12</v>
      </c>
      <c r="O19" t="str">
        <f t="shared" si="0"/>
        <v>update squaregridwinners set WinningTeam = 19, LosingTeam = 53 where BusinessUnit = 'SCDDGC' and YearPick = 2024 and EventType = 6 and PoolNbr = 1 and Quarter = 1 and SeqNo = 18;</v>
      </c>
    </row>
    <row r="20" spans="1:15" x14ac:dyDescent="0.3">
      <c r="A20" t="s">
        <v>380</v>
      </c>
      <c r="B20" s="1">
        <v>2024</v>
      </c>
      <c r="C20" s="1">
        <v>6</v>
      </c>
      <c r="D20" s="1">
        <v>1</v>
      </c>
      <c r="E20" s="1">
        <v>1</v>
      </c>
      <c r="F20" s="1">
        <v>19</v>
      </c>
      <c r="G20" s="1">
        <v>241</v>
      </c>
      <c r="H20" s="1">
        <v>284</v>
      </c>
      <c r="I20" s="1">
        <v>9</v>
      </c>
      <c r="J20" s="1">
        <v>5</v>
      </c>
      <c r="K20" s="1">
        <v>69</v>
      </c>
      <c r="L20" s="1">
        <v>65</v>
      </c>
      <c r="M20" s="1" t="s">
        <v>12</v>
      </c>
      <c r="O20" t="str">
        <f t="shared" si="0"/>
        <v>update squaregridwinners set WinningTeam = 241, LosingTeam = 284 where BusinessUnit = 'SCDDGC' and YearPick = 2024 and EventType = 6 and PoolNbr = 1 and Quarter = 1 and SeqNo = 19;</v>
      </c>
    </row>
    <row r="21" spans="1:15" x14ac:dyDescent="0.3">
      <c r="A21" t="s">
        <v>380</v>
      </c>
      <c r="B21" s="1">
        <v>2024</v>
      </c>
      <c r="C21" s="1">
        <v>6</v>
      </c>
      <c r="D21" s="1">
        <v>1</v>
      </c>
      <c r="E21" s="1">
        <v>1</v>
      </c>
      <c r="F21" s="1">
        <v>20</v>
      </c>
      <c r="G21" s="1">
        <v>152</v>
      </c>
      <c r="H21" s="1">
        <v>329</v>
      </c>
      <c r="I21" s="1">
        <v>7</v>
      </c>
      <c r="J21" s="1">
        <v>9</v>
      </c>
      <c r="K21" s="1">
        <v>87</v>
      </c>
      <c r="L21" s="1">
        <v>69</v>
      </c>
      <c r="M21" s="1" t="s">
        <v>12</v>
      </c>
      <c r="O21" t="str">
        <f t="shared" si="0"/>
        <v>update squaregridwinners set WinningTeam = 152, LosingTeam = 329 where BusinessUnit = 'SCDDGC' and YearPick = 2024 and EventType = 6 and PoolNbr = 1 and Quarter = 1 and SeqNo = 20;</v>
      </c>
    </row>
    <row r="22" spans="1:15" x14ac:dyDescent="0.3">
      <c r="A22" t="s">
        <v>380</v>
      </c>
      <c r="B22" s="1">
        <v>2024</v>
      </c>
      <c r="C22" s="1">
        <v>6</v>
      </c>
      <c r="D22" s="1">
        <v>1</v>
      </c>
      <c r="E22" s="1">
        <v>1</v>
      </c>
      <c r="F22" s="1">
        <v>21</v>
      </c>
      <c r="G22" s="1">
        <v>50</v>
      </c>
      <c r="H22" s="1">
        <v>181</v>
      </c>
      <c r="I22" s="1">
        <v>7</v>
      </c>
      <c r="J22" s="1">
        <v>6</v>
      </c>
      <c r="K22" s="1">
        <v>77</v>
      </c>
      <c r="L22" s="1">
        <v>56</v>
      </c>
      <c r="M22" s="1" t="s">
        <v>12</v>
      </c>
      <c r="O22" t="str">
        <f t="shared" si="0"/>
        <v>update squaregridwinners set WinningTeam = 50, LosingTeam = 181 where BusinessUnit = 'SCDDGC' and YearPick = 2024 and EventType = 6 and PoolNbr = 1 and Quarter = 1 and SeqNo = 21;</v>
      </c>
    </row>
    <row r="23" spans="1:15" x14ac:dyDescent="0.3">
      <c r="A23" t="s">
        <v>380</v>
      </c>
      <c r="B23" s="1">
        <v>2024</v>
      </c>
      <c r="C23" s="1">
        <v>6</v>
      </c>
      <c r="D23" s="1">
        <v>1</v>
      </c>
      <c r="E23" s="1">
        <v>1</v>
      </c>
      <c r="F23" s="1">
        <v>22</v>
      </c>
      <c r="G23" s="1">
        <v>58</v>
      </c>
      <c r="H23" s="1">
        <v>264</v>
      </c>
      <c r="I23" s="1">
        <v>1</v>
      </c>
      <c r="J23" s="1">
        <v>2</v>
      </c>
      <c r="K23" s="1">
        <v>91</v>
      </c>
      <c r="L23" s="1">
        <v>52</v>
      </c>
      <c r="M23" s="1" t="s">
        <v>12</v>
      </c>
      <c r="O23" t="str">
        <f t="shared" si="0"/>
        <v>update squaregridwinners set WinningTeam = 58, LosingTeam = 264 where BusinessUnit = 'SCDDGC' and YearPick = 2024 and EventType = 6 and PoolNbr = 1 and Quarter = 1 and SeqNo = 22;</v>
      </c>
    </row>
    <row r="24" spans="1:15" x14ac:dyDescent="0.3">
      <c r="A24" t="s">
        <v>380</v>
      </c>
      <c r="B24" s="1">
        <v>2024</v>
      </c>
      <c r="C24" s="1">
        <v>6</v>
      </c>
      <c r="D24" s="1">
        <v>1</v>
      </c>
      <c r="E24" s="1">
        <v>1</v>
      </c>
      <c r="F24" s="1">
        <v>23</v>
      </c>
      <c r="G24" s="1">
        <v>340</v>
      </c>
      <c r="H24" s="1">
        <v>16</v>
      </c>
      <c r="I24" s="1">
        <v>8</v>
      </c>
      <c r="J24" s="1">
        <v>6</v>
      </c>
      <c r="K24" s="1">
        <v>78</v>
      </c>
      <c r="L24" s="1">
        <v>76</v>
      </c>
      <c r="M24" s="1" t="s">
        <v>12</v>
      </c>
      <c r="O24" t="str">
        <f t="shared" si="0"/>
        <v>update squaregridwinners set WinningTeam = 340, LosingTeam = 16 where BusinessUnit = 'SCDDGC' and YearPick = 2024 and EventType = 6 and PoolNbr = 1 and Quarter = 1 and SeqNo = 23;</v>
      </c>
    </row>
    <row r="25" spans="1:15" x14ac:dyDescent="0.3">
      <c r="A25" t="s">
        <v>380</v>
      </c>
      <c r="B25" s="1">
        <v>2024</v>
      </c>
      <c r="C25" s="1">
        <v>6</v>
      </c>
      <c r="D25" s="1">
        <v>1</v>
      </c>
      <c r="E25" s="1">
        <v>1</v>
      </c>
      <c r="F25" s="1">
        <v>24</v>
      </c>
      <c r="G25" s="1">
        <v>55</v>
      </c>
      <c r="H25" s="1">
        <v>84</v>
      </c>
      <c r="I25" s="1">
        <v>2</v>
      </c>
      <c r="J25" s="1">
        <v>0</v>
      </c>
      <c r="K25" s="1">
        <v>102</v>
      </c>
      <c r="L25" s="1">
        <v>100</v>
      </c>
      <c r="M25" s="1" t="s">
        <v>12</v>
      </c>
      <c r="O25" t="str">
        <f t="shared" si="0"/>
        <v>update squaregridwinners set WinningTeam = 55, LosingTeam = 84 where BusinessUnit = 'SCDDGC' and YearPick = 2024 and EventType = 6 and PoolNbr = 1 and Quarter = 1 and SeqNo = 24;</v>
      </c>
    </row>
    <row r="26" spans="1:15" x14ac:dyDescent="0.3">
      <c r="A26" t="s">
        <v>380</v>
      </c>
      <c r="B26" s="1">
        <v>2024</v>
      </c>
      <c r="C26" s="1">
        <v>6</v>
      </c>
      <c r="D26" s="1">
        <v>1</v>
      </c>
      <c r="E26" s="1">
        <v>1</v>
      </c>
      <c r="F26" s="1">
        <v>25</v>
      </c>
      <c r="G26" s="1">
        <v>274</v>
      </c>
      <c r="H26" s="1">
        <v>178</v>
      </c>
      <c r="I26" s="1">
        <v>8</v>
      </c>
      <c r="J26" s="1">
        <v>3</v>
      </c>
      <c r="K26" s="1">
        <v>98</v>
      </c>
      <c r="L26" s="1">
        <v>83</v>
      </c>
      <c r="M26" s="1" t="s">
        <v>12</v>
      </c>
      <c r="O26" t="str">
        <f t="shared" si="0"/>
        <v>update squaregridwinners set WinningTeam = 274, LosingTeam = 178 where BusinessUnit = 'SCDDGC' and YearPick = 2024 and EventType = 6 and PoolNbr = 1 and Quarter = 1 and SeqNo = 25;</v>
      </c>
    </row>
    <row r="27" spans="1:15" x14ac:dyDescent="0.3">
      <c r="A27" t="s">
        <v>380</v>
      </c>
      <c r="B27" s="1">
        <v>2024</v>
      </c>
      <c r="C27" s="1">
        <v>6</v>
      </c>
      <c r="D27" s="1">
        <v>1</v>
      </c>
      <c r="E27" s="1">
        <v>1</v>
      </c>
      <c r="F27" s="1">
        <v>26</v>
      </c>
      <c r="G27" s="1">
        <v>72</v>
      </c>
      <c r="H27" s="1">
        <v>316</v>
      </c>
      <c r="I27" s="1">
        <v>4</v>
      </c>
      <c r="J27" s="1">
        <v>7</v>
      </c>
      <c r="K27" s="1">
        <v>64</v>
      </c>
      <c r="L27" s="1">
        <v>47</v>
      </c>
      <c r="M27" s="1" t="s">
        <v>12</v>
      </c>
      <c r="O27" t="str">
        <f t="shared" si="0"/>
        <v>update squaregridwinners set WinningTeam = 72, LosingTeam = 316 where BusinessUnit = 'SCDDGC' and YearPick = 2024 and EventType = 6 and PoolNbr = 1 and Quarter = 1 and SeqNo = 26;</v>
      </c>
    </row>
    <row r="28" spans="1:15" x14ac:dyDescent="0.3">
      <c r="A28" t="s">
        <v>380</v>
      </c>
      <c r="B28" s="1">
        <v>2024</v>
      </c>
      <c r="C28" s="1">
        <v>6</v>
      </c>
      <c r="D28" s="1">
        <v>1</v>
      </c>
      <c r="E28" s="1">
        <v>1</v>
      </c>
      <c r="F28" s="1">
        <v>27</v>
      </c>
      <c r="G28" s="1">
        <v>222</v>
      </c>
      <c r="H28" s="1">
        <v>102</v>
      </c>
      <c r="I28" s="1">
        <v>8</v>
      </c>
      <c r="J28" s="1">
        <v>0</v>
      </c>
      <c r="K28" s="1">
        <v>78</v>
      </c>
      <c r="L28" s="1">
        <v>50</v>
      </c>
      <c r="M28" s="1" t="s">
        <v>12</v>
      </c>
      <c r="O28" t="str">
        <f t="shared" si="0"/>
        <v>update squaregridwinners set WinningTeam = 222, LosingTeam = 102 where BusinessUnit = 'SCDDGC' and YearPick = 2024 and EventType = 6 and PoolNbr = 1 and Quarter = 1 and SeqNo = 27;</v>
      </c>
    </row>
    <row r="29" spans="1:15" x14ac:dyDescent="0.3">
      <c r="A29" t="s">
        <v>380</v>
      </c>
      <c r="B29" s="1">
        <v>2024</v>
      </c>
      <c r="C29" s="1">
        <v>6</v>
      </c>
      <c r="D29" s="1">
        <v>1</v>
      </c>
      <c r="E29" s="1">
        <v>1</v>
      </c>
      <c r="F29" s="1">
        <v>28</v>
      </c>
      <c r="G29" s="1">
        <v>3</v>
      </c>
      <c r="H29" s="1">
        <v>54</v>
      </c>
      <c r="I29" s="1">
        <v>9</v>
      </c>
      <c r="J29" s="1">
        <v>6</v>
      </c>
      <c r="K29" s="1">
        <v>109</v>
      </c>
      <c r="L29" s="1">
        <v>96</v>
      </c>
      <c r="M29" s="1" t="s">
        <v>12</v>
      </c>
      <c r="O29" t="str">
        <f t="shared" si="0"/>
        <v>update squaregridwinners set WinningTeam = 3, LosingTeam = 54 where BusinessUnit = 'SCDDGC' and YearPick = 2024 and EventType = 6 and PoolNbr = 1 and Quarter = 1 and SeqNo = 28;</v>
      </c>
    </row>
    <row r="30" spans="1:15" x14ac:dyDescent="0.3">
      <c r="A30" t="s">
        <v>380</v>
      </c>
      <c r="B30" s="1">
        <v>2024</v>
      </c>
      <c r="C30" s="1">
        <v>6</v>
      </c>
      <c r="D30" s="1">
        <v>1</v>
      </c>
      <c r="E30" s="1">
        <v>1</v>
      </c>
      <c r="F30" s="1">
        <v>29</v>
      </c>
      <c r="G30" s="1">
        <v>111</v>
      </c>
      <c r="H30" s="1">
        <v>141</v>
      </c>
      <c r="I30" s="1">
        <v>6</v>
      </c>
      <c r="J30" s="1">
        <v>6</v>
      </c>
      <c r="K30" s="1">
        <v>86</v>
      </c>
      <c r="L30" s="1">
        <v>46</v>
      </c>
      <c r="M30" s="1" t="s">
        <v>12</v>
      </c>
      <c r="O30" t="str">
        <f t="shared" si="0"/>
        <v>update squaregridwinners set WinningTeam = 111, LosingTeam = 141 where BusinessUnit = 'SCDDGC' and YearPick = 2024 and EventType = 6 and PoolNbr = 1 and Quarter = 1 and SeqNo = 29;</v>
      </c>
    </row>
    <row r="31" spans="1:15" x14ac:dyDescent="0.3">
      <c r="A31" t="s">
        <v>380</v>
      </c>
      <c r="B31" s="1">
        <v>2024</v>
      </c>
      <c r="C31" s="1">
        <v>6</v>
      </c>
      <c r="D31" s="1">
        <v>1</v>
      </c>
      <c r="E31" s="1">
        <v>1</v>
      </c>
      <c r="F31" s="1">
        <v>30</v>
      </c>
      <c r="G31" s="1">
        <v>127</v>
      </c>
      <c r="H31" s="1">
        <v>335</v>
      </c>
      <c r="I31" s="1">
        <v>2</v>
      </c>
      <c r="J31" s="1">
        <v>1</v>
      </c>
      <c r="K31" s="1">
        <v>72</v>
      </c>
      <c r="L31" s="1">
        <v>61</v>
      </c>
      <c r="M31" s="1" t="s">
        <v>12</v>
      </c>
      <c r="O31" t="str">
        <f t="shared" si="0"/>
        <v>update squaregridwinners set WinningTeam = 127, LosingTeam = 335 where BusinessUnit = 'SCDDGC' and YearPick = 2024 and EventType = 6 and PoolNbr = 1 and Quarter = 1 and SeqNo = 30;</v>
      </c>
    </row>
    <row r="32" spans="1:15" x14ac:dyDescent="0.3">
      <c r="A32" t="s">
        <v>380</v>
      </c>
      <c r="B32" s="1">
        <v>2024</v>
      </c>
      <c r="C32" s="1">
        <v>6</v>
      </c>
      <c r="D32" s="1">
        <v>1</v>
      </c>
      <c r="E32" s="1">
        <v>1</v>
      </c>
      <c r="F32" s="1">
        <v>31</v>
      </c>
      <c r="G32" s="1">
        <v>312</v>
      </c>
      <c r="H32" s="1">
        <v>267</v>
      </c>
      <c r="I32" s="1">
        <v>8</v>
      </c>
      <c r="J32" s="1">
        <v>2</v>
      </c>
      <c r="K32" s="1">
        <v>88</v>
      </c>
      <c r="L32" s="1">
        <v>72</v>
      </c>
      <c r="M32" s="1" t="s">
        <v>12</v>
      </c>
      <c r="O32" t="str">
        <f t="shared" si="0"/>
        <v>update squaregridwinners set WinningTeam = 312, LosingTeam = 267 where BusinessUnit = 'SCDDGC' and YearPick = 2024 and EventType = 6 and PoolNbr = 1 and Quarter = 1 and SeqNo = 31;</v>
      </c>
    </row>
    <row r="33" spans="1:15" x14ac:dyDescent="0.3">
      <c r="A33" t="s">
        <v>380</v>
      </c>
      <c r="B33" s="1">
        <v>2024</v>
      </c>
      <c r="C33" s="1">
        <v>6</v>
      </c>
      <c r="D33" s="1">
        <v>1</v>
      </c>
      <c r="E33" s="1">
        <v>1</v>
      </c>
      <c r="F33" s="1">
        <v>32</v>
      </c>
      <c r="G33" s="1">
        <v>363</v>
      </c>
      <c r="H33" s="1">
        <v>236</v>
      </c>
      <c r="I33" s="1">
        <v>5</v>
      </c>
      <c r="J33" s="1">
        <v>6</v>
      </c>
      <c r="K33" s="1">
        <v>75</v>
      </c>
      <c r="L33" s="1">
        <v>66</v>
      </c>
      <c r="M33" s="1" t="s">
        <v>12</v>
      </c>
      <c r="O33" t="str">
        <f t="shared" si="0"/>
        <v>update squaregridwinners set WinningTeam = 363, LosingTeam = 236 where BusinessUnit = 'SCDDGC' and YearPick = 2024 and EventType = 6 and PoolNbr = 1 and Quarter = 1 and SeqNo = 32;</v>
      </c>
    </row>
    <row r="34" spans="1:15" x14ac:dyDescent="0.3">
      <c r="A34" t="s">
        <v>380</v>
      </c>
      <c r="B34" s="1">
        <v>2024</v>
      </c>
      <c r="C34" s="1">
        <v>6</v>
      </c>
      <c r="D34" s="1">
        <v>1</v>
      </c>
      <c r="E34" s="1">
        <v>2</v>
      </c>
      <c r="F34" s="1">
        <v>1</v>
      </c>
      <c r="G34" s="1">
        <v>10</v>
      </c>
      <c r="H34" s="1">
        <v>64</v>
      </c>
      <c r="I34" s="1">
        <v>8</v>
      </c>
      <c r="J34" s="1">
        <v>8</v>
      </c>
      <c r="K34" s="1">
        <v>78</v>
      </c>
      <c r="L34" s="1">
        <v>68</v>
      </c>
      <c r="M34" s="1" t="s">
        <v>12</v>
      </c>
      <c r="O34" t="str">
        <f t="shared" si="0"/>
        <v>update squaregridwinners set WinningTeam = 10, LosingTeam = 64 where BusinessUnit = 'SCDDGC' and YearPick = 2024 and EventType = 6 and PoolNbr = 1 and Quarter = 2 and SeqNo = 1;</v>
      </c>
    </row>
    <row r="35" spans="1:15" x14ac:dyDescent="0.3">
      <c r="A35" t="s">
        <v>380</v>
      </c>
      <c r="B35" s="1">
        <v>2024</v>
      </c>
      <c r="C35" s="1">
        <v>6</v>
      </c>
      <c r="D35" s="1">
        <v>1</v>
      </c>
      <c r="E35" s="1">
        <v>2</v>
      </c>
      <c r="F35" s="1">
        <v>2</v>
      </c>
      <c r="G35" s="1">
        <v>101</v>
      </c>
      <c r="H35" s="1">
        <v>128</v>
      </c>
      <c r="I35" s="1">
        <v>9</v>
      </c>
      <c r="J35" s="1">
        <v>8</v>
      </c>
      <c r="K35" s="1">
        <v>89</v>
      </c>
      <c r="L35" s="1">
        <v>68</v>
      </c>
      <c r="M35" s="1" t="s">
        <v>12</v>
      </c>
      <c r="O35" t="str">
        <f t="shared" si="0"/>
        <v>update squaregridwinners set WinningTeam = 101, LosingTeam = 128 where BusinessUnit = 'SCDDGC' and YearPick = 2024 and EventType = 6 and PoolNbr = 1 and Quarter = 2 and SeqNo = 2;</v>
      </c>
    </row>
    <row r="36" spans="1:15" x14ac:dyDescent="0.3">
      <c r="A36" t="s">
        <v>380</v>
      </c>
      <c r="B36" s="1">
        <v>2024</v>
      </c>
      <c r="C36" s="1">
        <v>6</v>
      </c>
      <c r="D36" s="1">
        <v>1</v>
      </c>
      <c r="E36" s="1">
        <v>2</v>
      </c>
      <c r="F36" s="1">
        <v>3</v>
      </c>
      <c r="G36" s="1">
        <v>186</v>
      </c>
      <c r="H36" s="1">
        <v>161</v>
      </c>
      <c r="I36" s="1">
        <v>5</v>
      </c>
      <c r="J36" s="1">
        <v>9</v>
      </c>
      <c r="K36" s="1">
        <v>85</v>
      </c>
      <c r="L36" s="1">
        <v>69</v>
      </c>
      <c r="M36" s="1" t="s">
        <v>12</v>
      </c>
      <c r="O36" t="str">
        <f t="shared" si="0"/>
        <v>update squaregridwinners set WinningTeam = 186, LosingTeam = 161 where BusinessUnit = 'SCDDGC' and YearPick = 2024 and EventType = 6 and PoolNbr = 1 and Quarter = 2 and SeqNo = 3;</v>
      </c>
    </row>
    <row r="37" spans="1:15" x14ac:dyDescent="0.3">
      <c r="A37" t="s">
        <v>380</v>
      </c>
      <c r="B37" s="1">
        <v>2024</v>
      </c>
      <c r="C37" s="1">
        <v>6</v>
      </c>
      <c r="D37" s="1">
        <v>1</v>
      </c>
      <c r="E37" s="1">
        <v>2</v>
      </c>
      <c r="F37" s="1">
        <v>4</v>
      </c>
      <c r="G37" s="1">
        <v>121</v>
      </c>
      <c r="H37" s="1">
        <v>324</v>
      </c>
      <c r="I37" s="1">
        <v>7</v>
      </c>
      <c r="J37" s="1">
        <v>6</v>
      </c>
      <c r="K37" s="1">
        <v>67</v>
      </c>
      <c r="L37" s="1">
        <v>56</v>
      </c>
      <c r="M37" s="1" t="s">
        <v>12</v>
      </c>
      <c r="O37" t="str">
        <f t="shared" si="0"/>
        <v>update squaregridwinners set WinningTeam = 121, LosingTeam = 324 where BusinessUnit = 'SCDDGC' and YearPick = 2024 and EventType = 6 and PoolNbr = 1 and Quarter = 2 and SeqNo = 4;</v>
      </c>
    </row>
    <row r="38" spans="1:15" x14ac:dyDescent="0.3">
      <c r="A38" t="s">
        <v>380</v>
      </c>
      <c r="B38" s="1">
        <v>2024</v>
      </c>
      <c r="C38" s="1">
        <v>6</v>
      </c>
      <c r="D38" s="1">
        <v>1</v>
      </c>
      <c r="E38" s="1">
        <v>2</v>
      </c>
      <c r="F38" s="1">
        <v>5</v>
      </c>
      <c r="G38" s="1">
        <v>191</v>
      </c>
      <c r="H38" s="1">
        <v>202</v>
      </c>
      <c r="I38" s="1">
        <v>9</v>
      </c>
      <c r="J38" s="1">
        <v>3</v>
      </c>
      <c r="K38" s="1">
        <v>79</v>
      </c>
      <c r="L38" s="1">
        <v>73</v>
      </c>
      <c r="M38" s="1" t="s">
        <v>12</v>
      </c>
      <c r="O38" t="str">
        <f t="shared" si="0"/>
        <v>update squaregridwinners set WinningTeam = 191, LosingTeam = 202 where BusinessUnit = 'SCDDGC' and YearPick = 2024 and EventType = 6 and PoolNbr = 1 and Quarter = 2 and SeqNo = 5;</v>
      </c>
    </row>
    <row r="39" spans="1:15" x14ac:dyDescent="0.3">
      <c r="A39" t="s">
        <v>380</v>
      </c>
      <c r="B39" s="1">
        <v>2024</v>
      </c>
      <c r="C39" s="1">
        <v>6</v>
      </c>
      <c r="D39" s="1">
        <v>1</v>
      </c>
      <c r="E39" s="1">
        <v>2</v>
      </c>
      <c r="F39" s="1">
        <v>6</v>
      </c>
      <c r="G39" s="1">
        <v>269</v>
      </c>
      <c r="H39" s="1">
        <v>273</v>
      </c>
      <c r="I39" s="1">
        <v>2</v>
      </c>
      <c r="J39" s="1">
        <v>8</v>
      </c>
      <c r="K39" s="1">
        <v>62</v>
      </c>
      <c r="L39" s="1">
        <v>58</v>
      </c>
      <c r="M39" s="1" t="s">
        <v>12</v>
      </c>
      <c r="O39" t="str">
        <f t="shared" si="0"/>
        <v>update squaregridwinners set WinningTeam = 269, LosingTeam = 273 where BusinessUnit = 'SCDDGC' and YearPick = 2024 and EventType = 6 and PoolNbr = 1 and Quarter = 2 and SeqNo = 6;</v>
      </c>
    </row>
    <row r="40" spans="1:15" x14ac:dyDescent="0.3">
      <c r="A40" t="s">
        <v>380</v>
      </c>
      <c r="B40" s="1">
        <v>2024</v>
      </c>
      <c r="C40" s="1">
        <v>6</v>
      </c>
      <c r="D40" s="1">
        <v>1</v>
      </c>
      <c r="E40" s="1">
        <v>2</v>
      </c>
      <c r="F40" s="1">
        <v>7</v>
      </c>
      <c r="G40" s="1">
        <v>115</v>
      </c>
      <c r="H40" s="1">
        <v>73</v>
      </c>
      <c r="I40" s="1">
        <v>9</v>
      </c>
      <c r="J40" s="1">
        <v>3</v>
      </c>
      <c r="K40" s="1">
        <v>89</v>
      </c>
      <c r="L40" s="1">
        <v>63</v>
      </c>
      <c r="M40" s="1" t="s">
        <v>12</v>
      </c>
      <c r="O40" t="str">
        <f t="shared" si="0"/>
        <v>update squaregridwinners set WinningTeam = 115, LosingTeam = 73 where BusinessUnit = 'SCDDGC' and YearPick = 2024 and EventType = 6 and PoolNbr = 1 and Quarter = 2 and SeqNo = 7;</v>
      </c>
    </row>
    <row r="41" spans="1:15" x14ac:dyDescent="0.3">
      <c r="A41" t="s">
        <v>380</v>
      </c>
      <c r="B41" s="1">
        <v>2024</v>
      </c>
      <c r="C41" s="1">
        <v>6</v>
      </c>
      <c r="D41" s="1">
        <v>1</v>
      </c>
      <c r="E41" s="1">
        <v>2</v>
      </c>
      <c r="F41" s="1">
        <v>8</v>
      </c>
      <c r="G41" s="1">
        <v>61</v>
      </c>
      <c r="H41" s="1">
        <v>209</v>
      </c>
      <c r="I41" s="1">
        <v>6</v>
      </c>
      <c r="J41" s="1">
        <v>3</v>
      </c>
      <c r="K41" s="1">
        <v>86</v>
      </c>
      <c r="L41" s="1">
        <v>73</v>
      </c>
      <c r="M41" s="1" t="s">
        <v>12</v>
      </c>
      <c r="O41" t="str">
        <f t="shared" si="0"/>
        <v>update squaregridwinners set WinningTeam = 61, LosingTeam = 209 where BusinessUnit = 'SCDDGC' and YearPick = 2024 and EventType = 6 and PoolNbr = 1 and Quarter = 2 and SeqNo = 8;</v>
      </c>
    </row>
    <row r="42" spans="1:15" x14ac:dyDescent="0.3">
      <c r="A42" t="s">
        <v>380</v>
      </c>
      <c r="B42" s="1">
        <v>2024</v>
      </c>
      <c r="C42" s="1">
        <v>6</v>
      </c>
      <c r="D42" s="1">
        <v>1</v>
      </c>
      <c r="E42" s="1">
        <v>2</v>
      </c>
      <c r="F42" s="1">
        <v>9</v>
      </c>
      <c r="G42" s="1">
        <v>152</v>
      </c>
      <c r="H42" s="1">
        <v>55</v>
      </c>
      <c r="I42" s="1">
        <v>1</v>
      </c>
      <c r="J42" s="1">
        <v>7</v>
      </c>
      <c r="K42" s="1">
        <v>81</v>
      </c>
      <c r="L42" s="1">
        <v>77</v>
      </c>
      <c r="M42" s="1" t="s">
        <v>12</v>
      </c>
      <c r="O42" t="str">
        <f t="shared" si="0"/>
        <v>update squaregridwinners set WinningTeam = 152, LosingTeam = 55 where BusinessUnit = 'SCDDGC' and YearPick = 2024 and EventType = 6 and PoolNbr = 1 and Quarter = 2 and SeqNo = 9;</v>
      </c>
    </row>
    <row r="43" spans="1:15" x14ac:dyDescent="0.3">
      <c r="A43" t="s">
        <v>380</v>
      </c>
      <c r="B43" s="1">
        <v>2024</v>
      </c>
      <c r="C43" s="1">
        <v>6</v>
      </c>
      <c r="D43" s="1">
        <v>1</v>
      </c>
      <c r="E43" s="1">
        <v>2</v>
      </c>
      <c r="F43" s="1">
        <v>10</v>
      </c>
      <c r="G43" s="1">
        <v>222</v>
      </c>
      <c r="H43" s="1">
        <v>312</v>
      </c>
      <c r="I43" s="1">
        <v>6</v>
      </c>
      <c r="J43" s="1">
        <v>7</v>
      </c>
      <c r="K43" s="1">
        <v>106</v>
      </c>
      <c r="L43" s="1">
        <v>67</v>
      </c>
      <c r="M43" s="1" t="s">
        <v>12</v>
      </c>
      <c r="O43" t="str">
        <f t="shared" si="0"/>
        <v>update squaregridwinners set WinningTeam = 222, LosingTeam = 312 where BusinessUnit = 'SCDDGC' and YearPick = 2024 and EventType = 6 and PoolNbr = 1 and Quarter = 2 and SeqNo = 10;</v>
      </c>
    </row>
    <row r="44" spans="1:15" x14ac:dyDescent="0.3">
      <c r="A44" t="s">
        <v>380</v>
      </c>
      <c r="B44" s="1">
        <v>2024</v>
      </c>
      <c r="C44" s="1">
        <v>6</v>
      </c>
      <c r="D44" s="1">
        <v>1</v>
      </c>
      <c r="E44" s="1">
        <v>2</v>
      </c>
      <c r="F44" s="1">
        <v>11</v>
      </c>
      <c r="G44" s="1">
        <v>72</v>
      </c>
      <c r="H44" s="1">
        <v>127</v>
      </c>
      <c r="I44" s="1">
        <v>3</v>
      </c>
      <c r="J44" s="1">
        <v>5</v>
      </c>
      <c r="K44" s="1">
        <v>93</v>
      </c>
      <c r="L44" s="1">
        <v>55</v>
      </c>
      <c r="M44" s="1" t="s">
        <v>12</v>
      </c>
      <c r="O44" t="str">
        <f t="shared" si="0"/>
        <v>update squaregridwinners set WinningTeam = 72, LosingTeam = 127 where BusinessUnit = 'SCDDGC' and YearPick = 2024 and EventType = 6 and PoolNbr = 1 and Quarter = 2 and SeqNo = 11;</v>
      </c>
    </row>
    <row r="45" spans="1:15" x14ac:dyDescent="0.3">
      <c r="A45" t="s">
        <v>380</v>
      </c>
      <c r="B45" s="1">
        <v>2024</v>
      </c>
      <c r="C45" s="1">
        <v>6</v>
      </c>
      <c r="D45" s="1">
        <v>1</v>
      </c>
      <c r="E45" s="1">
        <v>2</v>
      </c>
      <c r="F45" s="1">
        <v>12</v>
      </c>
      <c r="G45" s="1">
        <v>50</v>
      </c>
      <c r="H45" s="1">
        <v>19</v>
      </c>
      <c r="I45" s="1">
        <v>2</v>
      </c>
      <c r="J45" s="1">
        <v>4</v>
      </c>
      <c r="K45" s="1">
        <v>72</v>
      </c>
      <c r="L45" s="1">
        <v>64</v>
      </c>
      <c r="M45" s="1" t="s">
        <v>12</v>
      </c>
      <c r="O45" t="str">
        <f t="shared" si="0"/>
        <v>update squaregridwinners set WinningTeam = 50, LosingTeam = 19 where BusinessUnit = 'SCDDGC' and YearPick = 2024 and EventType = 6 and PoolNbr = 1 and Quarter = 2 and SeqNo = 12;</v>
      </c>
    </row>
    <row r="46" spans="1:15" x14ac:dyDescent="0.3">
      <c r="A46" t="s">
        <v>380</v>
      </c>
      <c r="B46" s="1">
        <v>2024</v>
      </c>
      <c r="C46" s="1">
        <v>6</v>
      </c>
      <c r="D46" s="1">
        <v>1</v>
      </c>
      <c r="E46" s="1">
        <v>2</v>
      </c>
      <c r="F46" s="1">
        <v>13</v>
      </c>
      <c r="G46" s="1">
        <v>3</v>
      </c>
      <c r="H46" s="1">
        <v>363</v>
      </c>
      <c r="I46" s="1">
        <v>2</v>
      </c>
      <c r="J46" s="1">
        <v>1</v>
      </c>
      <c r="K46" s="1">
        <v>72</v>
      </c>
      <c r="L46" s="1">
        <v>61</v>
      </c>
      <c r="M46" s="1" t="s">
        <v>12</v>
      </c>
      <c r="O46" t="str">
        <f t="shared" si="0"/>
        <v>update squaregridwinners set WinningTeam = 3, LosingTeam = 363 where BusinessUnit = 'SCDDGC' and YearPick = 2024 and EventType = 6 and PoolNbr = 1 and Quarter = 2 and SeqNo = 13;</v>
      </c>
    </row>
    <row r="47" spans="1:15" x14ac:dyDescent="0.3">
      <c r="A47" t="s">
        <v>380</v>
      </c>
      <c r="B47" s="1">
        <v>2024</v>
      </c>
      <c r="C47" s="1">
        <v>6</v>
      </c>
      <c r="D47" s="1">
        <v>1</v>
      </c>
      <c r="E47" s="1">
        <v>2</v>
      </c>
      <c r="F47" s="1">
        <v>14</v>
      </c>
      <c r="G47" s="1">
        <v>58</v>
      </c>
      <c r="H47" s="1">
        <v>199</v>
      </c>
      <c r="I47" s="1">
        <v>5</v>
      </c>
      <c r="J47" s="1">
        <v>8</v>
      </c>
      <c r="K47" s="1">
        <v>75</v>
      </c>
      <c r="L47" s="1">
        <v>58</v>
      </c>
      <c r="M47" s="1" t="s">
        <v>12</v>
      </c>
      <c r="O47" t="str">
        <f t="shared" si="0"/>
        <v>update squaregridwinners set WinningTeam = 58, LosingTeam = 199 where BusinessUnit = 'SCDDGC' and YearPick = 2024 and EventType = 6 and PoolNbr = 1 and Quarter = 2 and SeqNo = 14;</v>
      </c>
    </row>
    <row r="48" spans="1:15" x14ac:dyDescent="0.3">
      <c r="A48" t="s">
        <v>380</v>
      </c>
      <c r="B48" s="1">
        <v>2024</v>
      </c>
      <c r="C48" s="1">
        <v>6</v>
      </c>
      <c r="D48" s="1">
        <v>1</v>
      </c>
      <c r="E48" s="1">
        <v>2</v>
      </c>
      <c r="F48" s="1">
        <v>15</v>
      </c>
      <c r="G48" s="1">
        <v>111</v>
      </c>
      <c r="H48" s="1">
        <v>274</v>
      </c>
      <c r="I48" s="1">
        <v>0</v>
      </c>
      <c r="J48" s="1">
        <v>5</v>
      </c>
      <c r="K48" s="1">
        <v>100</v>
      </c>
      <c r="L48" s="1">
        <v>95</v>
      </c>
      <c r="M48" s="1" t="s">
        <v>12</v>
      </c>
      <c r="O48" t="str">
        <f t="shared" si="0"/>
        <v>update squaregridwinners set WinningTeam = 111, LosingTeam = 274 where BusinessUnit = 'SCDDGC' and YearPick = 2024 and EventType = 6 and PoolNbr = 1 and Quarter = 2 and SeqNo = 15;</v>
      </c>
    </row>
    <row r="49" spans="1:15" x14ac:dyDescent="0.3">
      <c r="A49" t="s">
        <v>380</v>
      </c>
      <c r="B49" s="1">
        <v>2024</v>
      </c>
      <c r="C49" s="1">
        <v>6</v>
      </c>
      <c r="D49" s="1">
        <v>1</v>
      </c>
      <c r="E49" s="1">
        <v>2</v>
      </c>
      <c r="F49" s="1">
        <v>16</v>
      </c>
      <c r="G49" s="1">
        <v>241</v>
      </c>
      <c r="H49" s="1">
        <v>340</v>
      </c>
      <c r="I49" s="1">
        <v>5</v>
      </c>
      <c r="J49" s="1">
        <v>7</v>
      </c>
      <c r="K49" s="1">
        <v>85</v>
      </c>
      <c r="L49" s="1">
        <v>57</v>
      </c>
      <c r="M49" s="1" t="s">
        <v>12</v>
      </c>
      <c r="O49" t="str">
        <f t="shared" si="0"/>
        <v>update squaregridwinners set WinningTeam = 241, LosingTeam = 340 where BusinessUnit = 'SCDDGC' and YearPick = 2024 and EventType = 6 and PoolNbr = 1 and Quarter = 2 and SeqNo = 16;</v>
      </c>
    </row>
    <row r="50" spans="1:15" x14ac:dyDescent="0.3">
      <c r="A50" t="s">
        <v>380</v>
      </c>
      <c r="B50" s="1">
        <v>2024</v>
      </c>
      <c r="C50" s="1">
        <v>6</v>
      </c>
      <c r="D50" s="1">
        <v>1</v>
      </c>
      <c r="E50" s="1">
        <v>3</v>
      </c>
      <c r="F50" s="1">
        <v>1</v>
      </c>
      <c r="G50" s="1">
        <v>50</v>
      </c>
      <c r="H50" s="1">
        <v>10</v>
      </c>
      <c r="I50" s="1">
        <f>MOD(K50,10)</f>
        <v>7</v>
      </c>
      <c r="J50" s="1">
        <f>MOD(L50,10)</f>
        <v>2</v>
      </c>
      <c r="K50" s="1">
        <v>77</v>
      </c>
      <c r="L50" s="1">
        <v>72</v>
      </c>
      <c r="M50" s="1" t="s">
        <v>12</v>
      </c>
      <c r="O50" t="str">
        <f t="shared" si="0"/>
        <v>update squaregridwinners set WinningTeam = 50, LosingTeam = 10 where BusinessUnit = 'SCDDGC' and YearPick = 2024 and EventType = 6 and PoolNbr = 1 and Quarter = 3 and SeqNo = 1;</v>
      </c>
    </row>
    <row r="51" spans="1:15" x14ac:dyDescent="0.3">
      <c r="A51" t="s">
        <v>380</v>
      </c>
      <c r="B51" s="1">
        <v>2024</v>
      </c>
      <c r="C51" s="1">
        <v>6</v>
      </c>
      <c r="D51" s="1">
        <v>1</v>
      </c>
      <c r="E51" s="1">
        <v>3</v>
      </c>
      <c r="F51" s="1">
        <v>2</v>
      </c>
      <c r="G51" s="1">
        <v>58</v>
      </c>
      <c r="H51" s="1">
        <v>241</v>
      </c>
      <c r="I51" s="1">
        <f t="shared" ref="I51:J57" si="1">MOD(K51,10)</f>
        <v>2</v>
      </c>
      <c r="J51" s="1">
        <f t="shared" si="1"/>
        <v>2</v>
      </c>
      <c r="K51" s="1">
        <v>82</v>
      </c>
      <c r="L51" s="1">
        <v>52</v>
      </c>
      <c r="M51" s="1" t="s">
        <v>12</v>
      </c>
      <c r="O51" t="str">
        <f t="shared" si="0"/>
        <v>update squaregridwinners set WinningTeam = 58, LosingTeam = 241 where BusinessUnit = 'SCDDGC' and YearPick = 2024 and EventType = 6 and PoolNbr = 1 and Quarter = 3 and SeqNo = 2;</v>
      </c>
    </row>
    <row r="52" spans="1:15" x14ac:dyDescent="0.3">
      <c r="A52" t="s">
        <v>380</v>
      </c>
      <c r="B52" s="1">
        <v>2024</v>
      </c>
      <c r="C52" s="1">
        <v>6</v>
      </c>
      <c r="D52" s="1">
        <v>1</v>
      </c>
      <c r="E52" s="1">
        <v>3</v>
      </c>
      <c r="F52" s="1">
        <v>3</v>
      </c>
      <c r="G52" s="1">
        <v>3</v>
      </c>
      <c r="H52" s="1">
        <v>186</v>
      </c>
      <c r="I52" s="1">
        <f t="shared" si="1"/>
        <v>9</v>
      </c>
      <c r="J52" s="1">
        <f t="shared" si="1"/>
        <v>7</v>
      </c>
      <c r="K52" s="1">
        <v>89</v>
      </c>
      <c r="L52" s="1">
        <v>87</v>
      </c>
      <c r="M52" s="1" t="s">
        <v>12</v>
      </c>
      <c r="O52" t="str">
        <f t="shared" si="0"/>
        <v>update squaregridwinners set WinningTeam = 3, LosingTeam = 186 where BusinessUnit = 'SCDDGC' and YearPick = 2024 and EventType = 6 and PoolNbr = 1 and Quarter = 3 and SeqNo = 3;</v>
      </c>
    </row>
    <row r="53" spans="1:15" x14ac:dyDescent="0.3">
      <c r="A53" t="s">
        <v>380</v>
      </c>
      <c r="B53" s="1">
        <v>2024</v>
      </c>
      <c r="C53" s="1">
        <v>6</v>
      </c>
      <c r="D53" s="1">
        <v>1</v>
      </c>
      <c r="E53" s="1">
        <v>3</v>
      </c>
      <c r="F53" s="1">
        <v>4</v>
      </c>
      <c r="G53" s="1">
        <v>115</v>
      </c>
      <c r="H53" s="1">
        <v>121</v>
      </c>
      <c r="I53" s="1">
        <f t="shared" si="1"/>
        <v>2</v>
      </c>
      <c r="J53" s="1">
        <f t="shared" si="1"/>
        <v>9</v>
      </c>
      <c r="K53" s="1">
        <v>72</v>
      </c>
      <c r="L53" s="1">
        <v>69</v>
      </c>
      <c r="M53" s="1" t="s">
        <v>12</v>
      </c>
      <c r="O53" t="str">
        <f t="shared" si="0"/>
        <v>update squaregridwinners set WinningTeam = 115, LosingTeam = 121 where BusinessUnit = 'SCDDGC' and YearPick = 2024 and EventType = 6 and PoolNbr = 1 and Quarter = 3 and SeqNo = 4;</v>
      </c>
    </row>
    <row r="54" spans="1:15" x14ac:dyDescent="0.3">
      <c r="A54" t="s">
        <v>380</v>
      </c>
      <c r="B54" s="1">
        <v>2024</v>
      </c>
      <c r="C54" s="1">
        <v>6</v>
      </c>
      <c r="D54" s="1">
        <v>1</v>
      </c>
      <c r="E54" s="1">
        <v>3</v>
      </c>
      <c r="F54" s="1">
        <v>5</v>
      </c>
      <c r="G54" s="1">
        <v>191</v>
      </c>
      <c r="H54" s="1">
        <v>152</v>
      </c>
      <c r="I54" s="1">
        <f t="shared" si="1"/>
        <v>7</v>
      </c>
      <c r="J54" s="1">
        <f t="shared" si="1"/>
        <v>8</v>
      </c>
      <c r="K54" s="1">
        <v>67</v>
      </c>
      <c r="L54" s="1">
        <v>58</v>
      </c>
      <c r="M54" s="1" t="s">
        <v>12</v>
      </c>
      <c r="O54" t="str">
        <f t="shared" ref="O54:O61" si="2">CONCATENATE("insert into squaregridwinners values ('",A54,"',",B54,",",C54,",",D54,",",E54,",",F54,",",G54,",",H54,",",I54,",",J54,",",K54,",",L54,",'",M54,"');")</f>
        <v>insert into squaregridwinners values ('SCDDGC',2024,6,1,3,5,191,152,7,8,67,58,'Y');</v>
      </c>
    </row>
    <row r="55" spans="1:15" x14ac:dyDescent="0.3">
      <c r="A55" t="s">
        <v>380</v>
      </c>
      <c r="B55" s="1">
        <v>2024</v>
      </c>
      <c r="C55" s="1">
        <v>6</v>
      </c>
      <c r="D55" s="1">
        <v>1</v>
      </c>
      <c r="E55" s="1">
        <v>3</v>
      </c>
      <c r="F55" s="1">
        <v>6</v>
      </c>
      <c r="G55" s="1">
        <v>222</v>
      </c>
      <c r="H55" s="1">
        <v>101</v>
      </c>
      <c r="I55" s="1">
        <f t="shared" si="1"/>
        <v>0</v>
      </c>
      <c r="J55" s="1">
        <f t="shared" si="1"/>
        <v>8</v>
      </c>
      <c r="K55" s="1">
        <v>80</v>
      </c>
      <c r="L55" s="1">
        <v>68</v>
      </c>
      <c r="M55" s="1" t="s">
        <v>12</v>
      </c>
      <c r="O55" t="str">
        <f t="shared" si="2"/>
        <v>insert into squaregridwinners values ('SCDDGC',2024,6,1,3,6,222,101,0,8,80,68,'Y');</v>
      </c>
    </row>
    <row r="56" spans="1:15" x14ac:dyDescent="0.3">
      <c r="A56" t="s">
        <v>380</v>
      </c>
      <c r="B56" s="1">
        <v>2024</v>
      </c>
      <c r="C56" s="1">
        <v>6</v>
      </c>
      <c r="D56" s="1">
        <v>1</v>
      </c>
      <c r="E56" s="1">
        <v>3</v>
      </c>
      <c r="F56" s="1">
        <v>7</v>
      </c>
      <c r="G56" s="1">
        <v>72</v>
      </c>
      <c r="H56" s="1">
        <v>111</v>
      </c>
      <c r="I56" s="1">
        <f t="shared" si="1"/>
        <v>4</v>
      </c>
      <c r="J56" s="1">
        <f t="shared" si="1"/>
        <v>1</v>
      </c>
      <c r="K56" s="1">
        <v>54</v>
      </c>
      <c r="L56" s="1">
        <v>51</v>
      </c>
      <c r="M56" s="1" t="s">
        <v>12</v>
      </c>
      <c r="O56" t="str">
        <f t="shared" si="2"/>
        <v>insert into squaregridwinners values ('SCDDGC',2024,6,1,3,7,72,111,4,1,54,51,'Y');</v>
      </c>
    </row>
    <row r="57" spans="1:15" x14ac:dyDescent="0.3">
      <c r="A57" t="s">
        <v>380</v>
      </c>
      <c r="B57" s="1">
        <v>2024</v>
      </c>
      <c r="C57" s="1">
        <v>6</v>
      </c>
      <c r="D57" s="1">
        <v>1</v>
      </c>
      <c r="E57" s="1">
        <v>3</v>
      </c>
      <c r="F57" s="1">
        <v>8</v>
      </c>
      <c r="G57" s="1">
        <v>269</v>
      </c>
      <c r="H57" s="1">
        <v>61</v>
      </c>
      <c r="I57" s="1">
        <f t="shared" si="1"/>
        <v>2</v>
      </c>
      <c r="J57" s="1">
        <f t="shared" si="1"/>
        <v>5</v>
      </c>
      <c r="K57" s="1">
        <v>82</v>
      </c>
      <c r="L57" s="1">
        <v>75</v>
      </c>
      <c r="M57" s="1" t="s">
        <v>12</v>
      </c>
      <c r="O57" t="str">
        <f t="shared" si="2"/>
        <v>insert into squaregridwinners values ('SCDDGC',2024,6,1,3,8,269,61,2,5,82,75,'Y');</v>
      </c>
    </row>
    <row r="58" spans="1:15" x14ac:dyDescent="0.3">
      <c r="A58" t="s">
        <v>380</v>
      </c>
      <c r="B58" s="1">
        <v>2024</v>
      </c>
      <c r="C58" s="1">
        <v>6</v>
      </c>
      <c r="D58" s="1">
        <v>1</v>
      </c>
      <c r="E58" s="1">
        <v>4</v>
      </c>
      <c r="F58" s="1">
        <v>1</v>
      </c>
      <c r="G58" s="1">
        <v>58</v>
      </c>
      <c r="H58" s="1">
        <v>115</v>
      </c>
      <c r="I58" s="1">
        <f t="shared" ref="I58:I61" si="3">MOD(K58,10)</f>
        <v>7</v>
      </c>
      <c r="J58" s="1">
        <f t="shared" ref="J58:J61" si="4">MOD(L58,10)</f>
        <v>2</v>
      </c>
      <c r="K58" s="1">
        <v>77</v>
      </c>
      <c r="L58" s="1">
        <v>52</v>
      </c>
      <c r="M58" s="1" t="s">
        <v>12</v>
      </c>
      <c r="O58" t="str">
        <f t="shared" si="2"/>
        <v>insert into squaregridwinners values ('SCDDGC',2024,6,1,4,1,58,115,7,2,77,52,'Y');</v>
      </c>
    </row>
    <row r="59" spans="1:15" x14ac:dyDescent="0.3">
      <c r="A59" t="s">
        <v>380</v>
      </c>
      <c r="B59" s="1">
        <v>2024</v>
      </c>
      <c r="C59" s="1">
        <v>6</v>
      </c>
      <c r="D59" s="1">
        <v>1</v>
      </c>
      <c r="E59" s="1">
        <v>4</v>
      </c>
      <c r="F59" s="1">
        <v>2</v>
      </c>
      <c r="G59" s="1">
        <v>3</v>
      </c>
      <c r="H59" s="1">
        <v>50</v>
      </c>
      <c r="I59" s="1">
        <f t="shared" si="3"/>
        <v>9</v>
      </c>
      <c r="J59" s="1">
        <f t="shared" si="4"/>
        <v>2</v>
      </c>
      <c r="K59" s="1">
        <v>89</v>
      </c>
      <c r="L59" s="1">
        <v>82</v>
      </c>
      <c r="M59" s="1" t="s">
        <v>12</v>
      </c>
      <c r="O59" t="str">
        <f t="shared" si="2"/>
        <v>insert into squaregridwinners values ('SCDDGC',2024,6,1,4,2,3,50,9,2,89,82,'Y');</v>
      </c>
    </row>
    <row r="60" spans="1:15" x14ac:dyDescent="0.3">
      <c r="A60" t="s">
        <v>380</v>
      </c>
      <c r="B60" s="1">
        <v>2024</v>
      </c>
      <c r="C60" s="1">
        <v>6</v>
      </c>
      <c r="D60" s="1">
        <v>1</v>
      </c>
      <c r="E60" s="1">
        <v>4</v>
      </c>
      <c r="F60" s="1">
        <v>3</v>
      </c>
      <c r="G60" s="1">
        <v>222</v>
      </c>
      <c r="H60" s="1">
        <v>269</v>
      </c>
      <c r="I60" s="1">
        <f t="shared" si="3"/>
        <v>2</v>
      </c>
      <c r="J60" s="1">
        <f t="shared" si="4"/>
        <v>6</v>
      </c>
      <c r="K60" s="1">
        <v>72</v>
      </c>
      <c r="L60" s="1">
        <v>66</v>
      </c>
      <c r="M60" s="1" t="s">
        <v>12</v>
      </c>
      <c r="O60" t="str">
        <f t="shared" si="2"/>
        <v>insert into squaregridwinners values ('SCDDGC',2024,6,1,4,3,222,269,2,6,72,66,'Y');</v>
      </c>
    </row>
    <row r="61" spans="1:15" x14ac:dyDescent="0.3">
      <c r="A61" t="s">
        <v>380</v>
      </c>
      <c r="B61" s="1">
        <v>2024</v>
      </c>
      <c r="C61" s="1">
        <v>6</v>
      </c>
      <c r="D61" s="1">
        <v>1</v>
      </c>
      <c r="E61" s="1">
        <v>4</v>
      </c>
      <c r="F61" s="1">
        <v>4</v>
      </c>
      <c r="G61" s="1">
        <v>191</v>
      </c>
      <c r="H61" s="1">
        <v>72</v>
      </c>
      <c r="I61" s="1">
        <f t="shared" si="3"/>
        <v>6</v>
      </c>
      <c r="J61" s="1">
        <f t="shared" si="4"/>
        <v>4</v>
      </c>
      <c r="K61" s="1">
        <v>76</v>
      </c>
      <c r="L61" s="1">
        <v>64</v>
      </c>
      <c r="M61" s="1" t="s">
        <v>12</v>
      </c>
      <c r="O61" t="str">
        <f t="shared" si="2"/>
        <v>insert into squaregridwinners values ('SCDDGC',2024,6,1,4,4,191,72,6,4,76,64,'Y');</v>
      </c>
    </row>
    <row r="62" spans="1:15" x14ac:dyDescent="0.3">
      <c r="A62" t="s">
        <v>380</v>
      </c>
      <c r="B62" s="1">
        <v>2024</v>
      </c>
      <c r="C62" s="1">
        <v>6</v>
      </c>
      <c r="D62" s="1">
        <v>1</v>
      </c>
      <c r="E62" s="1">
        <v>5</v>
      </c>
      <c r="F62" s="1">
        <v>1</v>
      </c>
      <c r="G62" s="2">
        <v>222</v>
      </c>
      <c r="H62" s="2">
        <v>191</v>
      </c>
      <c r="I62" s="2">
        <f>MOD(K62,10)</f>
        <v>3</v>
      </c>
      <c r="J62" s="2">
        <f>MOD(L62,10)</f>
        <v>0</v>
      </c>
      <c r="K62" s="2">
        <v>63</v>
      </c>
      <c r="L62" s="2">
        <v>50</v>
      </c>
      <c r="M62" s="1" t="s">
        <v>12</v>
      </c>
      <c r="O62" t="str">
        <f t="shared" ref="O62:O63" si="5">CONCATENATE("insert into squaregridwinners values ('",A62,"',",B62,",",C62,",",D62,",",E62,",",F62,",",G62,",",H62,",",I62,",",J62,",",K62,",",L62,",'",M62,"');")</f>
        <v>insert into squaregridwinners values ('SCDDGC',2024,6,1,5,1,222,191,3,0,63,50,'Y');</v>
      </c>
    </row>
    <row r="63" spans="1:15" x14ac:dyDescent="0.3">
      <c r="A63" t="s">
        <v>380</v>
      </c>
      <c r="B63" s="1">
        <v>2024</v>
      </c>
      <c r="C63" s="1">
        <v>6</v>
      </c>
      <c r="D63" s="1">
        <v>1</v>
      </c>
      <c r="E63" s="1">
        <v>5</v>
      </c>
      <c r="F63" s="1">
        <v>2</v>
      </c>
      <c r="G63" s="3">
        <v>58</v>
      </c>
      <c r="H63" s="3">
        <v>3</v>
      </c>
      <c r="I63" s="3">
        <f t="shared" ref="I63:J63" si="6">MOD(K63,10)</f>
        <v>6</v>
      </c>
      <c r="J63" s="3">
        <f t="shared" si="6"/>
        <v>2</v>
      </c>
      <c r="K63" s="3">
        <v>86</v>
      </c>
      <c r="L63" s="3">
        <v>72</v>
      </c>
      <c r="M63" s="1" t="s">
        <v>12</v>
      </c>
      <c r="O63" t="str">
        <f t="shared" si="5"/>
        <v>insert into squaregridwinners values ('SCDDGC',2024,6,1,5,2,58,3,6,2,86,72,'Y');</v>
      </c>
    </row>
    <row r="64" spans="1:15" x14ac:dyDescent="0.3">
      <c r="A64" t="s">
        <v>380</v>
      </c>
      <c r="B64" s="1">
        <v>2024</v>
      </c>
      <c r="C64" s="1">
        <v>6</v>
      </c>
      <c r="D64" s="1">
        <v>1</v>
      </c>
      <c r="E64" s="1">
        <v>6</v>
      </c>
      <c r="F64" s="1">
        <v>1</v>
      </c>
      <c r="G64" s="1">
        <v>58</v>
      </c>
      <c r="H64" s="1">
        <v>222</v>
      </c>
      <c r="I64" s="1">
        <f>MOD(K64,10)</f>
        <v>5</v>
      </c>
      <c r="J64" s="1">
        <f>MOD(L64,10)</f>
        <v>0</v>
      </c>
      <c r="K64" s="1">
        <v>75</v>
      </c>
      <c r="L64" s="1">
        <v>60</v>
      </c>
      <c r="M64" s="1" t="s">
        <v>12</v>
      </c>
      <c r="O64" t="str">
        <f t="shared" ref="O64" si="7">CONCATENATE("insert into squaregridwinners values ('",A64,"',",B64,",",C64,",",D64,",",E64,",",F64,",",G64,",",H64,",",I64,",",J64,",",K64,",",L64,",'",M64,"');")</f>
        <v>insert into squaregridwinners values ('SCDDGC',2024,6,1,6,1,58,222,5,0,75,60,'Y');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399A0-B5A6-47BA-BFAE-FDA4FEAC75A9}">
  <dimension ref="A1:O64"/>
  <sheetViews>
    <sheetView tabSelected="1" topLeftCell="D44" workbookViewId="0">
      <selection activeCell="G64" sqref="G64:L64"/>
    </sheetView>
  </sheetViews>
  <sheetFormatPr defaultRowHeight="14.4" x14ac:dyDescent="0.3"/>
  <cols>
    <col min="1" max="1" width="14" bestFit="1" customWidth="1"/>
    <col min="2" max="2" width="10.5546875" style="1" bestFit="1" customWidth="1"/>
    <col min="3" max="3" width="11.6640625" style="1" bestFit="1" customWidth="1"/>
    <col min="4" max="4" width="10" style="1" bestFit="1" customWidth="1"/>
    <col min="5" max="5" width="9.5546875" style="1" bestFit="1" customWidth="1"/>
    <col min="6" max="6" width="8.6640625" style="1" bestFit="1" customWidth="1"/>
    <col min="7" max="8" width="12.6640625" style="1" customWidth="1"/>
    <col min="9" max="10" width="9.6640625" style="1" bestFit="1" customWidth="1"/>
    <col min="11" max="11" width="11" style="1" bestFit="1" customWidth="1"/>
    <col min="12" max="12" width="11.109375" style="1" bestFit="1" customWidth="1"/>
    <col min="13" max="13" width="8.5546875" style="1" bestFit="1" customWidth="1"/>
  </cols>
  <sheetData>
    <row r="1" spans="1:1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  <c r="H1" s="1" t="s">
        <v>14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5" x14ac:dyDescent="0.3">
      <c r="A2" t="s">
        <v>381</v>
      </c>
      <c r="B2" s="1">
        <v>2024</v>
      </c>
      <c r="C2" s="1">
        <v>6</v>
      </c>
      <c r="D2" s="1">
        <v>2</v>
      </c>
      <c r="E2" s="1">
        <v>1</v>
      </c>
      <c r="F2" s="1">
        <v>1</v>
      </c>
      <c r="G2" s="1">
        <v>161</v>
      </c>
      <c r="H2" s="1">
        <v>166</v>
      </c>
      <c r="I2" s="1">
        <v>9</v>
      </c>
      <c r="J2" s="1">
        <v>1</v>
      </c>
      <c r="K2" s="1">
        <v>69</v>
      </c>
      <c r="L2" s="1">
        <v>51</v>
      </c>
      <c r="M2" s="1" t="s">
        <v>12</v>
      </c>
      <c r="O2" t="str">
        <f>CONCATENATE("update squaregridwinners set WinningTeam = ",G2,", LosingTeam = ",H2," where BusinessUnit = '",A2,"' and YearPick = ",B2," and EventType = ",C2," and PoolNbr = ",D2," and Quarter = ",E2," and SeqNo = ",F2,";")</f>
        <v>update squaregridwinners set WinningTeam = 161, LosingTeam = 166 where BusinessUnit = 'USADVB' and YearPick = 2024 and EventType = 6 and PoolNbr = 2 and Quarter = 1 and SeqNo = 1;</v>
      </c>
    </row>
    <row r="3" spans="1:15" x14ac:dyDescent="0.3">
      <c r="A3" t="s">
        <v>381</v>
      </c>
      <c r="B3" s="1">
        <v>2024</v>
      </c>
      <c r="C3" s="1">
        <v>6</v>
      </c>
      <c r="D3" s="1">
        <v>2</v>
      </c>
      <c r="E3" s="1">
        <v>1</v>
      </c>
      <c r="F3" s="1">
        <v>2</v>
      </c>
      <c r="G3" s="1">
        <v>73</v>
      </c>
      <c r="H3" s="1">
        <v>32</v>
      </c>
      <c r="I3" s="1">
        <v>1</v>
      </c>
      <c r="J3" s="1">
        <v>7</v>
      </c>
      <c r="K3" s="1">
        <v>71</v>
      </c>
      <c r="L3" s="1">
        <v>67</v>
      </c>
      <c r="M3" s="1" t="s">
        <v>12</v>
      </c>
      <c r="O3" t="str">
        <f>CONCATENATE("update squaregridwinners set WinningTeam = ",G3,", LosingTeam = ",H3," where BusinessUnit = '",A3,"' and YearPick = ",B3," and EventType = ",C3," and PoolNbr = ",D3," and Quarter = ",E3," and SeqNo = ",F3,";")</f>
        <v>update squaregridwinners set WinningTeam = 73, LosingTeam = 32 where BusinessUnit = 'USADVB' and YearPick = 2024 and EventType = 6 and PoolNbr = 2 and Quarter = 1 and SeqNo = 2;</v>
      </c>
    </row>
    <row r="4" spans="1:15" x14ac:dyDescent="0.3">
      <c r="A4" t="s">
        <v>381</v>
      </c>
      <c r="B4" s="1">
        <v>2024</v>
      </c>
      <c r="C4" s="1">
        <v>6</v>
      </c>
      <c r="D4" s="1">
        <v>2</v>
      </c>
      <c r="E4" s="1">
        <v>1</v>
      </c>
      <c r="F4" s="1">
        <v>3</v>
      </c>
      <c r="G4" s="1">
        <v>61</v>
      </c>
      <c r="H4" s="1">
        <v>2</v>
      </c>
      <c r="I4" s="1">
        <v>7</v>
      </c>
      <c r="J4" s="1">
        <v>0</v>
      </c>
      <c r="K4" s="1">
        <v>77</v>
      </c>
      <c r="L4" s="1">
        <v>60</v>
      </c>
      <c r="M4" s="1" t="s">
        <v>12</v>
      </c>
      <c r="O4" t="str">
        <f t="shared" ref="O4:O49" si="0">CONCATENATE("update squaregridwinners set WinningTeam = ",G4,", LosingTeam = ",H4," where BusinessUnit = '",A4,"' and YearPick = ",B4," and EventType = ",C4," and PoolNbr = ",D4," and Quarter = ",E4," and SeqNo = ",F4,";")</f>
        <v>update squaregridwinners set WinningTeam = 61, LosingTeam = 2 where BusinessUnit = 'USADVB' and YearPick = 2024 and EventType = 6 and PoolNbr = 2 and Quarter = 1 and SeqNo = 3;</v>
      </c>
    </row>
    <row r="5" spans="1:15" x14ac:dyDescent="0.3">
      <c r="A5" t="s">
        <v>381</v>
      </c>
      <c r="B5" s="1">
        <v>2024</v>
      </c>
      <c r="C5" s="1">
        <v>6</v>
      </c>
      <c r="D5" s="1">
        <v>2</v>
      </c>
      <c r="E5" s="1">
        <v>1</v>
      </c>
      <c r="F5" s="1">
        <v>4</v>
      </c>
      <c r="G5" s="1">
        <v>10</v>
      </c>
      <c r="H5" s="1">
        <v>140</v>
      </c>
      <c r="I5" s="1">
        <v>5</v>
      </c>
      <c r="J5" s="1">
        <v>5</v>
      </c>
      <c r="K5" s="1">
        <v>85</v>
      </c>
      <c r="L5" s="1">
        <v>65</v>
      </c>
      <c r="M5" s="1" t="s">
        <v>12</v>
      </c>
      <c r="O5" t="str">
        <f t="shared" si="0"/>
        <v>update squaregridwinners set WinningTeam = 10, LosingTeam = 140 where BusinessUnit = 'USADVB' and YearPick = 2024 and EventType = 6 and PoolNbr = 2 and Quarter = 1 and SeqNo = 4;</v>
      </c>
    </row>
    <row r="6" spans="1:15" x14ac:dyDescent="0.3">
      <c r="A6" t="s">
        <v>381</v>
      </c>
      <c r="B6" s="1">
        <v>2024</v>
      </c>
      <c r="C6" s="1">
        <v>6</v>
      </c>
      <c r="D6" s="1">
        <v>2</v>
      </c>
      <c r="E6" s="1">
        <v>1</v>
      </c>
      <c r="F6" s="1">
        <v>5</v>
      </c>
      <c r="G6" s="1">
        <v>186</v>
      </c>
      <c r="H6" s="1">
        <v>321</v>
      </c>
      <c r="I6" s="1">
        <v>0</v>
      </c>
      <c r="J6" s="1">
        <v>2</v>
      </c>
      <c r="K6" s="1">
        <v>90</v>
      </c>
      <c r="L6" s="1">
        <v>62</v>
      </c>
      <c r="M6" s="1" t="s">
        <v>12</v>
      </c>
      <c r="O6" t="str">
        <f t="shared" si="0"/>
        <v>update squaregridwinners set WinningTeam = 186, LosingTeam = 321 where BusinessUnit = 'USADVB' and YearPick = 2024 and EventType = 6 and PoolNbr = 2 and Quarter = 1 and SeqNo = 5;</v>
      </c>
    </row>
    <row r="7" spans="1:15" x14ac:dyDescent="0.3">
      <c r="A7" t="s">
        <v>381</v>
      </c>
      <c r="B7" s="1">
        <v>2024</v>
      </c>
      <c r="C7" s="1">
        <v>6</v>
      </c>
      <c r="D7" s="1">
        <v>2</v>
      </c>
      <c r="E7" s="1">
        <v>1</v>
      </c>
      <c r="F7" s="1">
        <v>6</v>
      </c>
      <c r="G7" s="1">
        <v>115</v>
      </c>
      <c r="H7" s="1">
        <v>173</v>
      </c>
      <c r="I7" s="1">
        <v>5</v>
      </c>
      <c r="J7" s="1">
        <v>9</v>
      </c>
      <c r="K7" s="1">
        <v>85</v>
      </c>
      <c r="L7" s="1">
        <v>69</v>
      </c>
      <c r="M7" s="1" t="s">
        <v>12</v>
      </c>
      <c r="O7" t="str">
        <f t="shared" si="0"/>
        <v>update squaregridwinners set WinningTeam = 115, LosingTeam = 173 where BusinessUnit = 'USADVB' and YearPick = 2024 and EventType = 6 and PoolNbr = 2 and Quarter = 1 and SeqNo = 6;</v>
      </c>
    </row>
    <row r="8" spans="1:15" x14ac:dyDescent="0.3">
      <c r="A8" t="s">
        <v>381</v>
      </c>
      <c r="B8" s="1">
        <v>2024</v>
      </c>
      <c r="C8" s="1">
        <v>6</v>
      </c>
      <c r="D8" s="1">
        <v>2</v>
      </c>
      <c r="E8" s="1">
        <v>1</v>
      </c>
      <c r="F8" s="1">
        <v>7</v>
      </c>
      <c r="G8" s="1">
        <v>209</v>
      </c>
      <c r="H8" s="1">
        <v>250</v>
      </c>
      <c r="I8" s="1">
        <v>7</v>
      </c>
      <c r="J8" s="1">
        <v>3</v>
      </c>
      <c r="K8" s="1">
        <v>87</v>
      </c>
      <c r="L8" s="1">
        <v>73</v>
      </c>
      <c r="M8" s="1" t="s">
        <v>12</v>
      </c>
      <c r="O8" t="str">
        <f t="shared" si="0"/>
        <v>update squaregridwinners set WinningTeam = 209, LosingTeam = 250 where BusinessUnit = 'USADVB' and YearPick = 2024 and EventType = 6 and PoolNbr = 2 and Quarter = 1 and SeqNo = 7;</v>
      </c>
    </row>
    <row r="9" spans="1:15" x14ac:dyDescent="0.3">
      <c r="A9" t="s">
        <v>381</v>
      </c>
      <c r="B9" s="1">
        <v>2024</v>
      </c>
      <c r="C9" s="1">
        <v>6</v>
      </c>
      <c r="D9" s="1">
        <v>2</v>
      </c>
      <c r="E9" s="1">
        <v>1</v>
      </c>
      <c r="F9" s="1">
        <v>8</v>
      </c>
      <c r="G9" s="1">
        <v>64</v>
      </c>
      <c r="H9" s="1">
        <v>179</v>
      </c>
      <c r="I9" s="1">
        <v>3</v>
      </c>
      <c r="J9" s="1">
        <v>0</v>
      </c>
      <c r="K9" s="1">
        <v>63</v>
      </c>
      <c r="L9" s="1">
        <v>60</v>
      </c>
      <c r="M9" s="1" t="s">
        <v>12</v>
      </c>
      <c r="O9" t="str">
        <f t="shared" si="0"/>
        <v>update squaregridwinners set WinningTeam = 64, LosingTeam = 179 where BusinessUnit = 'USADVB' and YearPick = 2024 and EventType = 6 and PoolNbr = 2 and Quarter = 1 and SeqNo = 8;</v>
      </c>
    </row>
    <row r="10" spans="1:15" x14ac:dyDescent="0.3">
      <c r="A10" t="s">
        <v>381</v>
      </c>
      <c r="B10" s="1">
        <v>2024</v>
      </c>
      <c r="C10" s="1">
        <v>6</v>
      </c>
      <c r="D10" s="1">
        <v>2</v>
      </c>
      <c r="E10" s="1">
        <v>1</v>
      </c>
      <c r="F10" s="1">
        <v>9</v>
      </c>
      <c r="G10" s="1">
        <v>273</v>
      </c>
      <c r="H10" s="1">
        <v>56</v>
      </c>
      <c r="I10" s="1">
        <v>6</v>
      </c>
      <c r="J10" s="1">
        <v>4</v>
      </c>
      <c r="K10" s="1">
        <v>56</v>
      </c>
      <c r="L10" s="1">
        <v>44</v>
      </c>
      <c r="M10" s="1" t="s">
        <v>12</v>
      </c>
      <c r="O10" t="str">
        <f t="shared" si="0"/>
        <v>update squaregridwinners set WinningTeam = 273, LosingTeam = 56 where BusinessUnit = 'USADVB' and YearPick = 2024 and EventType = 6 and PoolNbr = 2 and Quarter = 1 and SeqNo = 9;</v>
      </c>
    </row>
    <row r="11" spans="1:15" x14ac:dyDescent="0.3">
      <c r="A11" t="s">
        <v>381</v>
      </c>
      <c r="B11" s="1">
        <v>2024</v>
      </c>
      <c r="C11" s="1">
        <v>6</v>
      </c>
      <c r="D11" s="1">
        <v>2</v>
      </c>
      <c r="E11" s="1">
        <v>1</v>
      </c>
      <c r="F11" s="1">
        <v>10</v>
      </c>
      <c r="G11" s="1">
        <v>202</v>
      </c>
      <c r="H11" s="1">
        <v>132</v>
      </c>
      <c r="I11" s="1">
        <v>0</v>
      </c>
      <c r="J11" s="1">
        <v>6</v>
      </c>
      <c r="K11" s="1">
        <v>80</v>
      </c>
      <c r="L11" s="1">
        <v>76</v>
      </c>
      <c r="M11" s="1" t="s">
        <v>12</v>
      </c>
      <c r="O11" t="str">
        <f t="shared" si="0"/>
        <v>update squaregridwinners set WinningTeam = 202, LosingTeam = 132 where BusinessUnit = 'USADVB' and YearPick = 2024 and EventType = 6 and PoolNbr = 2 and Quarter = 1 and SeqNo = 10;</v>
      </c>
    </row>
    <row r="12" spans="1:15" x14ac:dyDescent="0.3">
      <c r="A12" t="s">
        <v>381</v>
      </c>
      <c r="B12" s="1">
        <v>2024</v>
      </c>
      <c r="C12" s="1">
        <v>6</v>
      </c>
      <c r="D12" s="1">
        <v>2</v>
      </c>
      <c r="E12" s="1">
        <v>1</v>
      </c>
      <c r="F12" s="1">
        <v>11</v>
      </c>
      <c r="G12" s="1">
        <v>121</v>
      </c>
      <c r="H12" s="1">
        <v>252</v>
      </c>
      <c r="I12" s="1">
        <v>2</v>
      </c>
      <c r="J12" s="1">
        <v>5</v>
      </c>
      <c r="K12" s="1">
        <v>82</v>
      </c>
      <c r="L12" s="1">
        <v>65</v>
      </c>
      <c r="M12" s="1" t="s">
        <v>12</v>
      </c>
      <c r="O12" t="str">
        <f t="shared" si="0"/>
        <v>update squaregridwinners set WinningTeam = 121, LosingTeam = 252 where BusinessUnit = 'USADVB' and YearPick = 2024 and EventType = 6 and PoolNbr = 2 and Quarter = 1 and SeqNo = 11;</v>
      </c>
    </row>
    <row r="13" spans="1:15" x14ac:dyDescent="0.3">
      <c r="A13" t="s">
        <v>381</v>
      </c>
      <c r="B13" s="1">
        <v>2024</v>
      </c>
      <c r="C13" s="1">
        <v>6</v>
      </c>
      <c r="D13" s="1">
        <v>2</v>
      </c>
      <c r="E13" s="1">
        <v>1</v>
      </c>
      <c r="F13" s="1">
        <v>12</v>
      </c>
      <c r="G13" s="1">
        <v>101</v>
      </c>
      <c r="H13" s="1">
        <v>155</v>
      </c>
      <c r="I13" s="1">
        <v>6</v>
      </c>
      <c r="J13" s="1">
        <v>5</v>
      </c>
      <c r="K13" s="1">
        <v>86</v>
      </c>
      <c r="L13" s="1">
        <v>65</v>
      </c>
      <c r="M13" s="1" t="s">
        <v>12</v>
      </c>
      <c r="O13" t="str">
        <f t="shared" si="0"/>
        <v>update squaregridwinners set WinningTeam = 101, LosingTeam = 155 where BusinessUnit = 'USADVB' and YearPick = 2024 and EventType = 6 and PoolNbr = 2 and Quarter = 1 and SeqNo = 12;</v>
      </c>
    </row>
    <row r="14" spans="1:15" x14ac:dyDescent="0.3">
      <c r="A14" t="s">
        <v>381</v>
      </c>
      <c r="B14" s="1">
        <v>2024</v>
      </c>
      <c r="C14" s="1">
        <v>6</v>
      </c>
      <c r="D14" s="1">
        <v>2</v>
      </c>
      <c r="E14" s="1">
        <v>1</v>
      </c>
      <c r="F14" s="1">
        <v>13</v>
      </c>
      <c r="G14" s="1">
        <v>269</v>
      </c>
      <c r="H14" s="1">
        <v>237</v>
      </c>
      <c r="I14" s="1">
        <v>3</v>
      </c>
      <c r="J14" s="1">
        <v>9</v>
      </c>
      <c r="K14" s="1">
        <v>83</v>
      </c>
      <c r="L14" s="1">
        <v>49</v>
      </c>
      <c r="M14" s="1" t="s">
        <v>12</v>
      </c>
      <c r="O14" t="str">
        <f t="shared" si="0"/>
        <v>update squaregridwinners set WinningTeam = 269, LosingTeam = 237 where BusinessUnit = 'USADVB' and YearPick = 2024 and EventType = 6 and PoolNbr = 2 and Quarter = 1 and SeqNo = 13;</v>
      </c>
    </row>
    <row r="15" spans="1:15" x14ac:dyDescent="0.3">
      <c r="A15" t="s">
        <v>381</v>
      </c>
      <c r="B15" s="1">
        <v>2024</v>
      </c>
      <c r="C15" s="1">
        <v>6</v>
      </c>
      <c r="D15" s="1">
        <v>2</v>
      </c>
      <c r="E15" s="1">
        <v>1</v>
      </c>
      <c r="F15" s="1">
        <v>14</v>
      </c>
      <c r="G15" s="1">
        <v>191</v>
      </c>
      <c r="H15" s="1">
        <v>278</v>
      </c>
      <c r="I15" s="1">
        <v>0</v>
      </c>
      <c r="J15" s="1">
        <v>7</v>
      </c>
      <c r="K15" s="1">
        <v>80</v>
      </c>
      <c r="L15" s="1">
        <v>67</v>
      </c>
      <c r="M15" s="1" t="s">
        <v>12</v>
      </c>
      <c r="O15" t="str">
        <f t="shared" si="0"/>
        <v>update squaregridwinners set WinningTeam = 191, LosingTeam = 278 where BusinessUnit = 'USADVB' and YearPick = 2024 and EventType = 6 and PoolNbr = 2 and Quarter = 1 and SeqNo = 14;</v>
      </c>
    </row>
    <row r="16" spans="1:15" x14ac:dyDescent="0.3">
      <c r="A16" t="s">
        <v>381</v>
      </c>
      <c r="B16" s="1">
        <v>2024</v>
      </c>
      <c r="C16" s="1">
        <v>6</v>
      </c>
      <c r="D16" s="1">
        <v>2</v>
      </c>
      <c r="E16" s="1">
        <v>1</v>
      </c>
      <c r="F16" s="1">
        <v>15</v>
      </c>
      <c r="G16" s="1">
        <v>324</v>
      </c>
      <c r="H16" s="1">
        <v>70</v>
      </c>
      <c r="I16" s="1">
        <v>6</v>
      </c>
      <c r="J16" s="1">
        <v>1</v>
      </c>
      <c r="K16" s="1">
        <v>66</v>
      </c>
      <c r="L16" s="1">
        <v>61</v>
      </c>
      <c r="M16" s="1" t="s">
        <v>12</v>
      </c>
      <c r="O16" t="str">
        <f t="shared" si="0"/>
        <v>update squaregridwinners set WinningTeam = 324, LosingTeam = 70 where BusinessUnit = 'USADVB' and YearPick = 2024 and EventType = 6 and PoolNbr = 2 and Quarter = 1 and SeqNo = 15;</v>
      </c>
    </row>
    <row r="17" spans="1:15" x14ac:dyDescent="0.3">
      <c r="A17" t="s">
        <v>381</v>
      </c>
      <c r="B17" s="1">
        <v>2024</v>
      </c>
      <c r="C17" s="1">
        <v>6</v>
      </c>
      <c r="D17" s="1">
        <v>2</v>
      </c>
      <c r="E17" s="1">
        <v>1</v>
      </c>
      <c r="F17" s="1">
        <v>16</v>
      </c>
      <c r="G17" s="1">
        <v>128</v>
      </c>
      <c r="H17" s="1">
        <v>239</v>
      </c>
      <c r="I17" s="1">
        <v>3</v>
      </c>
      <c r="J17" s="1">
        <v>9</v>
      </c>
      <c r="K17" s="1">
        <v>93</v>
      </c>
      <c r="L17" s="1">
        <v>89</v>
      </c>
      <c r="M17" s="1" t="s">
        <v>12</v>
      </c>
      <c r="O17" t="str">
        <f t="shared" si="0"/>
        <v>update squaregridwinners set WinningTeam = 128, LosingTeam = 239 where BusinessUnit = 'USADVB' and YearPick = 2024 and EventType = 6 and PoolNbr = 2 and Quarter = 1 and SeqNo = 16;</v>
      </c>
    </row>
    <row r="18" spans="1:15" x14ac:dyDescent="0.3">
      <c r="A18" t="s">
        <v>381</v>
      </c>
      <c r="B18" s="1">
        <v>2024</v>
      </c>
      <c r="C18" s="1">
        <v>6</v>
      </c>
      <c r="D18" s="1">
        <v>2</v>
      </c>
      <c r="E18" s="1">
        <v>1</v>
      </c>
      <c r="F18" s="1">
        <v>17</v>
      </c>
      <c r="G18" s="1">
        <v>199</v>
      </c>
      <c r="H18" s="1">
        <v>86</v>
      </c>
      <c r="I18" s="1">
        <v>7</v>
      </c>
      <c r="J18" s="1">
        <v>5</v>
      </c>
      <c r="K18" s="1">
        <v>77</v>
      </c>
      <c r="L18" s="1">
        <v>65</v>
      </c>
      <c r="M18" s="1" t="s">
        <v>12</v>
      </c>
      <c r="O18" t="str">
        <f t="shared" si="0"/>
        <v>update squaregridwinners set WinningTeam = 199, LosingTeam = 86 where BusinessUnit = 'USADVB' and YearPick = 2024 and EventType = 6 and PoolNbr = 2 and Quarter = 1 and SeqNo = 17;</v>
      </c>
    </row>
    <row r="19" spans="1:15" x14ac:dyDescent="0.3">
      <c r="A19" t="s">
        <v>381</v>
      </c>
      <c r="B19" s="1">
        <v>2024</v>
      </c>
      <c r="C19" s="1">
        <v>6</v>
      </c>
      <c r="D19" s="1">
        <v>2</v>
      </c>
      <c r="E19" s="1">
        <v>1</v>
      </c>
      <c r="F19" s="1">
        <v>18</v>
      </c>
      <c r="G19" s="1">
        <v>19</v>
      </c>
      <c r="H19" s="1">
        <v>53</v>
      </c>
      <c r="I19" s="1">
        <v>2</v>
      </c>
      <c r="J19" s="1">
        <v>7</v>
      </c>
      <c r="K19" s="1">
        <v>92</v>
      </c>
      <c r="L19" s="1">
        <v>67</v>
      </c>
      <c r="M19" s="1" t="s">
        <v>12</v>
      </c>
      <c r="O19" t="str">
        <f t="shared" si="0"/>
        <v>update squaregridwinners set WinningTeam = 19, LosingTeam = 53 where BusinessUnit = 'USADVB' and YearPick = 2024 and EventType = 6 and PoolNbr = 2 and Quarter = 1 and SeqNo = 18;</v>
      </c>
    </row>
    <row r="20" spans="1:15" x14ac:dyDescent="0.3">
      <c r="A20" t="s">
        <v>381</v>
      </c>
      <c r="B20" s="1">
        <v>2024</v>
      </c>
      <c r="C20" s="1">
        <v>6</v>
      </c>
      <c r="D20" s="1">
        <v>2</v>
      </c>
      <c r="E20" s="1">
        <v>1</v>
      </c>
      <c r="F20" s="1">
        <v>19</v>
      </c>
      <c r="G20" s="1">
        <v>241</v>
      </c>
      <c r="H20" s="1">
        <v>284</v>
      </c>
      <c r="I20" s="1">
        <v>9</v>
      </c>
      <c r="J20" s="1">
        <v>5</v>
      </c>
      <c r="K20" s="1">
        <v>69</v>
      </c>
      <c r="L20" s="1">
        <v>65</v>
      </c>
      <c r="M20" s="1" t="s">
        <v>12</v>
      </c>
      <c r="O20" t="str">
        <f t="shared" si="0"/>
        <v>update squaregridwinners set WinningTeam = 241, LosingTeam = 284 where BusinessUnit = 'USADVB' and YearPick = 2024 and EventType = 6 and PoolNbr = 2 and Quarter = 1 and SeqNo = 19;</v>
      </c>
    </row>
    <row r="21" spans="1:15" x14ac:dyDescent="0.3">
      <c r="A21" t="s">
        <v>381</v>
      </c>
      <c r="B21" s="1">
        <v>2024</v>
      </c>
      <c r="C21" s="1">
        <v>6</v>
      </c>
      <c r="D21" s="1">
        <v>2</v>
      </c>
      <c r="E21" s="1">
        <v>1</v>
      </c>
      <c r="F21" s="1">
        <v>20</v>
      </c>
      <c r="G21" s="1">
        <v>152</v>
      </c>
      <c r="H21" s="1">
        <v>329</v>
      </c>
      <c r="I21" s="1">
        <v>7</v>
      </c>
      <c r="J21" s="1">
        <v>9</v>
      </c>
      <c r="K21" s="1">
        <v>87</v>
      </c>
      <c r="L21" s="1">
        <v>69</v>
      </c>
      <c r="M21" s="1" t="s">
        <v>12</v>
      </c>
      <c r="O21" t="str">
        <f t="shared" si="0"/>
        <v>update squaregridwinners set WinningTeam = 152, LosingTeam = 329 where BusinessUnit = 'USADVB' and YearPick = 2024 and EventType = 6 and PoolNbr = 2 and Quarter = 1 and SeqNo = 20;</v>
      </c>
    </row>
    <row r="22" spans="1:15" x14ac:dyDescent="0.3">
      <c r="A22" t="s">
        <v>381</v>
      </c>
      <c r="B22" s="1">
        <v>2024</v>
      </c>
      <c r="C22" s="1">
        <v>6</v>
      </c>
      <c r="D22" s="1">
        <v>2</v>
      </c>
      <c r="E22" s="1">
        <v>1</v>
      </c>
      <c r="F22" s="1">
        <v>21</v>
      </c>
      <c r="G22" s="1">
        <v>50</v>
      </c>
      <c r="H22" s="1">
        <v>181</v>
      </c>
      <c r="I22" s="1">
        <v>7</v>
      </c>
      <c r="J22" s="1">
        <v>6</v>
      </c>
      <c r="K22" s="1">
        <v>77</v>
      </c>
      <c r="L22" s="1">
        <v>56</v>
      </c>
      <c r="M22" s="1" t="s">
        <v>12</v>
      </c>
      <c r="O22" t="str">
        <f t="shared" si="0"/>
        <v>update squaregridwinners set WinningTeam = 50, LosingTeam = 181 where BusinessUnit = 'USADVB' and YearPick = 2024 and EventType = 6 and PoolNbr = 2 and Quarter = 1 and SeqNo = 21;</v>
      </c>
    </row>
    <row r="23" spans="1:15" x14ac:dyDescent="0.3">
      <c r="A23" t="s">
        <v>381</v>
      </c>
      <c r="B23" s="1">
        <v>2024</v>
      </c>
      <c r="C23" s="1">
        <v>6</v>
      </c>
      <c r="D23" s="1">
        <v>2</v>
      </c>
      <c r="E23" s="1">
        <v>1</v>
      </c>
      <c r="F23" s="1">
        <v>22</v>
      </c>
      <c r="G23" s="1">
        <v>58</v>
      </c>
      <c r="H23" s="1">
        <v>264</v>
      </c>
      <c r="I23" s="1">
        <v>1</v>
      </c>
      <c r="J23" s="1">
        <v>2</v>
      </c>
      <c r="K23" s="1">
        <v>91</v>
      </c>
      <c r="L23" s="1">
        <v>52</v>
      </c>
      <c r="M23" s="1" t="s">
        <v>12</v>
      </c>
      <c r="O23" t="str">
        <f t="shared" si="0"/>
        <v>update squaregridwinners set WinningTeam = 58, LosingTeam = 264 where BusinessUnit = 'USADVB' and YearPick = 2024 and EventType = 6 and PoolNbr = 2 and Quarter = 1 and SeqNo = 22;</v>
      </c>
    </row>
    <row r="24" spans="1:15" x14ac:dyDescent="0.3">
      <c r="A24" t="s">
        <v>381</v>
      </c>
      <c r="B24" s="1">
        <v>2024</v>
      </c>
      <c r="C24" s="1">
        <v>6</v>
      </c>
      <c r="D24" s="1">
        <v>2</v>
      </c>
      <c r="E24" s="1">
        <v>1</v>
      </c>
      <c r="F24" s="1">
        <v>23</v>
      </c>
      <c r="G24" s="1">
        <v>340</v>
      </c>
      <c r="H24" s="1">
        <v>16</v>
      </c>
      <c r="I24" s="1">
        <v>8</v>
      </c>
      <c r="J24" s="1">
        <v>6</v>
      </c>
      <c r="K24" s="1">
        <v>78</v>
      </c>
      <c r="L24" s="1">
        <v>76</v>
      </c>
      <c r="M24" s="1" t="s">
        <v>12</v>
      </c>
      <c r="O24" t="str">
        <f t="shared" si="0"/>
        <v>update squaregridwinners set WinningTeam = 340, LosingTeam = 16 where BusinessUnit = 'USADVB' and YearPick = 2024 and EventType = 6 and PoolNbr = 2 and Quarter = 1 and SeqNo = 23;</v>
      </c>
    </row>
    <row r="25" spans="1:15" x14ac:dyDescent="0.3">
      <c r="A25" t="s">
        <v>381</v>
      </c>
      <c r="B25" s="1">
        <v>2024</v>
      </c>
      <c r="C25" s="1">
        <v>6</v>
      </c>
      <c r="D25" s="1">
        <v>2</v>
      </c>
      <c r="E25" s="1">
        <v>1</v>
      </c>
      <c r="F25" s="1">
        <v>24</v>
      </c>
      <c r="G25" s="1">
        <v>55</v>
      </c>
      <c r="H25" s="1">
        <v>84</v>
      </c>
      <c r="I25" s="1">
        <v>2</v>
      </c>
      <c r="J25" s="1">
        <v>0</v>
      </c>
      <c r="K25" s="1">
        <v>102</v>
      </c>
      <c r="L25" s="1">
        <v>100</v>
      </c>
      <c r="M25" s="1" t="s">
        <v>12</v>
      </c>
      <c r="O25" t="str">
        <f t="shared" si="0"/>
        <v>update squaregridwinners set WinningTeam = 55, LosingTeam = 84 where BusinessUnit = 'USADVB' and YearPick = 2024 and EventType = 6 and PoolNbr = 2 and Quarter = 1 and SeqNo = 24;</v>
      </c>
    </row>
    <row r="26" spans="1:15" x14ac:dyDescent="0.3">
      <c r="A26" t="s">
        <v>381</v>
      </c>
      <c r="B26" s="1">
        <v>2024</v>
      </c>
      <c r="C26" s="1">
        <v>6</v>
      </c>
      <c r="D26" s="1">
        <v>2</v>
      </c>
      <c r="E26" s="1">
        <v>1</v>
      </c>
      <c r="F26" s="1">
        <v>25</v>
      </c>
      <c r="G26" s="1">
        <v>274</v>
      </c>
      <c r="H26" s="1">
        <v>178</v>
      </c>
      <c r="I26" s="1">
        <v>8</v>
      </c>
      <c r="J26" s="1">
        <v>3</v>
      </c>
      <c r="K26" s="1">
        <v>98</v>
      </c>
      <c r="L26" s="1">
        <v>83</v>
      </c>
      <c r="M26" s="1" t="s">
        <v>12</v>
      </c>
      <c r="O26" t="str">
        <f t="shared" si="0"/>
        <v>update squaregridwinners set WinningTeam = 274, LosingTeam = 178 where BusinessUnit = 'USADVB' and YearPick = 2024 and EventType = 6 and PoolNbr = 2 and Quarter = 1 and SeqNo = 25;</v>
      </c>
    </row>
    <row r="27" spans="1:15" x14ac:dyDescent="0.3">
      <c r="A27" t="s">
        <v>381</v>
      </c>
      <c r="B27" s="1">
        <v>2024</v>
      </c>
      <c r="C27" s="1">
        <v>6</v>
      </c>
      <c r="D27" s="1">
        <v>2</v>
      </c>
      <c r="E27" s="1">
        <v>1</v>
      </c>
      <c r="F27" s="1">
        <v>26</v>
      </c>
      <c r="G27" s="1">
        <v>72</v>
      </c>
      <c r="H27" s="1">
        <v>316</v>
      </c>
      <c r="I27" s="1">
        <v>4</v>
      </c>
      <c r="J27" s="1">
        <v>7</v>
      </c>
      <c r="K27" s="1">
        <v>64</v>
      </c>
      <c r="L27" s="1">
        <v>47</v>
      </c>
      <c r="M27" s="1" t="s">
        <v>12</v>
      </c>
      <c r="O27" t="str">
        <f t="shared" si="0"/>
        <v>update squaregridwinners set WinningTeam = 72, LosingTeam = 316 where BusinessUnit = 'USADVB' and YearPick = 2024 and EventType = 6 and PoolNbr = 2 and Quarter = 1 and SeqNo = 26;</v>
      </c>
    </row>
    <row r="28" spans="1:15" x14ac:dyDescent="0.3">
      <c r="A28" t="s">
        <v>381</v>
      </c>
      <c r="B28" s="1">
        <v>2024</v>
      </c>
      <c r="C28" s="1">
        <v>6</v>
      </c>
      <c r="D28" s="1">
        <v>2</v>
      </c>
      <c r="E28" s="1">
        <v>1</v>
      </c>
      <c r="F28" s="1">
        <v>27</v>
      </c>
      <c r="G28" s="1">
        <v>222</v>
      </c>
      <c r="H28" s="1">
        <v>102</v>
      </c>
      <c r="I28" s="1">
        <v>8</v>
      </c>
      <c r="J28" s="1">
        <v>0</v>
      </c>
      <c r="K28" s="1">
        <v>78</v>
      </c>
      <c r="L28" s="1">
        <v>50</v>
      </c>
      <c r="M28" s="1" t="s">
        <v>12</v>
      </c>
      <c r="O28" t="str">
        <f t="shared" si="0"/>
        <v>update squaregridwinners set WinningTeam = 222, LosingTeam = 102 where BusinessUnit = 'USADVB' and YearPick = 2024 and EventType = 6 and PoolNbr = 2 and Quarter = 1 and SeqNo = 27;</v>
      </c>
    </row>
    <row r="29" spans="1:15" x14ac:dyDescent="0.3">
      <c r="A29" t="s">
        <v>381</v>
      </c>
      <c r="B29" s="1">
        <v>2024</v>
      </c>
      <c r="C29" s="1">
        <v>6</v>
      </c>
      <c r="D29" s="1">
        <v>2</v>
      </c>
      <c r="E29" s="1">
        <v>1</v>
      </c>
      <c r="F29" s="1">
        <v>28</v>
      </c>
      <c r="G29" s="1">
        <v>3</v>
      </c>
      <c r="H29" s="1">
        <v>54</v>
      </c>
      <c r="I29" s="1">
        <v>9</v>
      </c>
      <c r="J29" s="1">
        <v>6</v>
      </c>
      <c r="K29" s="1">
        <v>109</v>
      </c>
      <c r="L29" s="1">
        <v>96</v>
      </c>
      <c r="M29" s="1" t="s">
        <v>12</v>
      </c>
      <c r="O29" t="str">
        <f t="shared" si="0"/>
        <v>update squaregridwinners set WinningTeam = 3, LosingTeam = 54 where BusinessUnit = 'USADVB' and YearPick = 2024 and EventType = 6 and PoolNbr = 2 and Quarter = 1 and SeqNo = 28;</v>
      </c>
    </row>
    <row r="30" spans="1:15" x14ac:dyDescent="0.3">
      <c r="A30" t="s">
        <v>381</v>
      </c>
      <c r="B30" s="1">
        <v>2024</v>
      </c>
      <c r="C30" s="1">
        <v>6</v>
      </c>
      <c r="D30" s="1">
        <v>2</v>
      </c>
      <c r="E30" s="1">
        <v>1</v>
      </c>
      <c r="F30" s="1">
        <v>29</v>
      </c>
      <c r="G30" s="1">
        <v>111</v>
      </c>
      <c r="H30" s="1">
        <v>141</v>
      </c>
      <c r="I30" s="1">
        <v>6</v>
      </c>
      <c r="J30" s="1">
        <v>6</v>
      </c>
      <c r="K30" s="1">
        <v>86</v>
      </c>
      <c r="L30" s="1">
        <v>46</v>
      </c>
      <c r="M30" s="1" t="s">
        <v>12</v>
      </c>
      <c r="O30" t="str">
        <f t="shared" si="0"/>
        <v>update squaregridwinners set WinningTeam = 111, LosingTeam = 141 where BusinessUnit = 'USADVB' and YearPick = 2024 and EventType = 6 and PoolNbr = 2 and Quarter = 1 and SeqNo = 29;</v>
      </c>
    </row>
    <row r="31" spans="1:15" x14ac:dyDescent="0.3">
      <c r="A31" t="s">
        <v>381</v>
      </c>
      <c r="B31" s="1">
        <v>2024</v>
      </c>
      <c r="C31" s="1">
        <v>6</v>
      </c>
      <c r="D31" s="1">
        <v>2</v>
      </c>
      <c r="E31" s="1">
        <v>1</v>
      </c>
      <c r="F31" s="1">
        <v>30</v>
      </c>
      <c r="G31" s="1">
        <v>127</v>
      </c>
      <c r="H31" s="1">
        <v>335</v>
      </c>
      <c r="I31" s="1">
        <v>2</v>
      </c>
      <c r="J31" s="1">
        <v>1</v>
      </c>
      <c r="K31" s="1">
        <v>72</v>
      </c>
      <c r="L31" s="1">
        <v>61</v>
      </c>
      <c r="M31" s="1" t="s">
        <v>12</v>
      </c>
      <c r="O31" t="str">
        <f t="shared" si="0"/>
        <v>update squaregridwinners set WinningTeam = 127, LosingTeam = 335 where BusinessUnit = 'USADVB' and YearPick = 2024 and EventType = 6 and PoolNbr = 2 and Quarter = 1 and SeqNo = 30;</v>
      </c>
    </row>
    <row r="32" spans="1:15" x14ac:dyDescent="0.3">
      <c r="A32" t="s">
        <v>381</v>
      </c>
      <c r="B32" s="1">
        <v>2024</v>
      </c>
      <c r="C32" s="1">
        <v>6</v>
      </c>
      <c r="D32" s="1">
        <v>2</v>
      </c>
      <c r="E32" s="1">
        <v>1</v>
      </c>
      <c r="F32" s="1">
        <v>31</v>
      </c>
      <c r="G32" s="1">
        <v>312</v>
      </c>
      <c r="H32" s="1">
        <v>267</v>
      </c>
      <c r="I32" s="1">
        <v>8</v>
      </c>
      <c r="J32" s="1">
        <v>2</v>
      </c>
      <c r="K32" s="1">
        <v>88</v>
      </c>
      <c r="L32" s="1">
        <v>72</v>
      </c>
      <c r="M32" s="1" t="s">
        <v>12</v>
      </c>
      <c r="O32" t="str">
        <f t="shared" si="0"/>
        <v>update squaregridwinners set WinningTeam = 312, LosingTeam = 267 where BusinessUnit = 'USADVB' and YearPick = 2024 and EventType = 6 and PoolNbr = 2 and Quarter = 1 and SeqNo = 31;</v>
      </c>
    </row>
    <row r="33" spans="1:15" x14ac:dyDescent="0.3">
      <c r="A33" t="s">
        <v>381</v>
      </c>
      <c r="B33" s="1">
        <v>2024</v>
      </c>
      <c r="C33" s="1">
        <v>6</v>
      </c>
      <c r="D33" s="1">
        <v>2</v>
      </c>
      <c r="E33" s="1">
        <v>1</v>
      </c>
      <c r="F33" s="1">
        <v>32</v>
      </c>
      <c r="G33" s="1">
        <v>363</v>
      </c>
      <c r="H33" s="1">
        <v>236</v>
      </c>
      <c r="I33" s="1">
        <v>5</v>
      </c>
      <c r="J33" s="1">
        <v>6</v>
      </c>
      <c r="K33" s="1">
        <v>75</v>
      </c>
      <c r="L33" s="1">
        <v>66</v>
      </c>
      <c r="M33" s="1" t="s">
        <v>12</v>
      </c>
      <c r="O33" t="str">
        <f t="shared" si="0"/>
        <v>update squaregridwinners set WinningTeam = 363, LosingTeam = 236 where BusinessUnit = 'USADVB' and YearPick = 2024 and EventType = 6 and PoolNbr = 2 and Quarter = 1 and SeqNo = 32;</v>
      </c>
    </row>
    <row r="34" spans="1:15" x14ac:dyDescent="0.3">
      <c r="A34" t="s">
        <v>381</v>
      </c>
      <c r="B34" s="1">
        <v>2024</v>
      </c>
      <c r="C34" s="1">
        <v>6</v>
      </c>
      <c r="D34" s="1">
        <v>2</v>
      </c>
      <c r="E34" s="1">
        <v>2</v>
      </c>
      <c r="F34" s="1">
        <v>1</v>
      </c>
      <c r="G34" s="1">
        <v>10</v>
      </c>
      <c r="H34" s="1">
        <v>64</v>
      </c>
      <c r="I34" s="1">
        <v>8</v>
      </c>
      <c r="J34" s="1">
        <v>8</v>
      </c>
      <c r="K34" s="1">
        <v>78</v>
      </c>
      <c r="L34" s="1">
        <v>68</v>
      </c>
      <c r="M34" s="1" t="s">
        <v>12</v>
      </c>
      <c r="O34" t="str">
        <f t="shared" si="0"/>
        <v>update squaregridwinners set WinningTeam = 10, LosingTeam = 64 where BusinessUnit = 'USADVB' and YearPick = 2024 and EventType = 6 and PoolNbr = 2 and Quarter = 2 and SeqNo = 1;</v>
      </c>
    </row>
    <row r="35" spans="1:15" x14ac:dyDescent="0.3">
      <c r="A35" t="s">
        <v>381</v>
      </c>
      <c r="B35" s="1">
        <v>2024</v>
      </c>
      <c r="C35" s="1">
        <v>6</v>
      </c>
      <c r="D35" s="1">
        <v>2</v>
      </c>
      <c r="E35" s="1">
        <v>2</v>
      </c>
      <c r="F35" s="1">
        <v>2</v>
      </c>
      <c r="G35" s="1">
        <v>101</v>
      </c>
      <c r="H35" s="1">
        <v>128</v>
      </c>
      <c r="I35" s="1">
        <v>9</v>
      </c>
      <c r="J35" s="1">
        <v>8</v>
      </c>
      <c r="K35" s="1">
        <v>89</v>
      </c>
      <c r="L35" s="1">
        <v>68</v>
      </c>
      <c r="M35" s="1" t="s">
        <v>12</v>
      </c>
      <c r="O35" t="str">
        <f t="shared" si="0"/>
        <v>update squaregridwinners set WinningTeam = 101, LosingTeam = 128 where BusinessUnit = 'USADVB' and YearPick = 2024 and EventType = 6 and PoolNbr = 2 and Quarter = 2 and SeqNo = 2;</v>
      </c>
    </row>
    <row r="36" spans="1:15" x14ac:dyDescent="0.3">
      <c r="A36" t="s">
        <v>381</v>
      </c>
      <c r="B36" s="1">
        <v>2024</v>
      </c>
      <c r="C36" s="1">
        <v>6</v>
      </c>
      <c r="D36" s="1">
        <v>2</v>
      </c>
      <c r="E36" s="1">
        <v>2</v>
      </c>
      <c r="F36" s="1">
        <v>3</v>
      </c>
      <c r="G36" s="1">
        <v>186</v>
      </c>
      <c r="H36" s="1">
        <v>161</v>
      </c>
      <c r="I36" s="1">
        <v>5</v>
      </c>
      <c r="J36" s="1">
        <v>9</v>
      </c>
      <c r="K36" s="1">
        <v>85</v>
      </c>
      <c r="L36" s="1">
        <v>69</v>
      </c>
      <c r="M36" s="1" t="s">
        <v>12</v>
      </c>
      <c r="O36" t="str">
        <f t="shared" si="0"/>
        <v>update squaregridwinners set WinningTeam = 186, LosingTeam = 161 where BusinessUnit = 'USADVB' and YearPick = 2024 and EventType = 6 and PoolNbr = 2 and Quarter = 2 and SeqNo = 3;</v>
      </c>
    </row>
    <row r="37" spans="1:15" x14ac:dyDescent="0.3">
      <c r="A37" t="s">
        <v>381</v>
      </c>
      <c r="B37" s="1">
        <v>2024</v>
      </c>
      <c r="C37" s="1">
        <v>6</v>
      </c>
      <c r="D37" s="1">
        <v>2</v>
      </c>
      <c r="E37" s="1">
        <v>2</v>
      </c>
      <c r="F37" s="1">
        <v>4</v>
      </c>
      <c r="G37" s="1">
        <v>121</v>
      </c>
      <c r="H37" s="1">
        <v>324</v>
      </c>
      <c r="I37" s="1">
        <v>7</v>
      </c>
      <c r="J37" s="1">
        <v>6</v>
      </c>
      <c r="K37" s="1">
        <v>67</v>
      </c>
      <c r="L37" s="1">
        <v>56</v>
      </c>
      <c r="M37" s="1" t="s">
        <v>12</v>
      </c>
      <c r="O37" t="str">
        <f t="shared" si="0"/>
        <v>update squaregridwinners set WinningTeam = 121, LosingTeam = 324 where BusinessUnit = 'USADVB' and YearPick = 2024 and EventType = 6 and PoolNbr = 2 and Quarter = 2 and SeqNo = 4;</v>
      </c>
    </row>
    <row r="38" spans="1:15" x14ac:dyDescent="0.3">
      <c r="A38" t="s">
        <v>381</v>
      </c>
      <c r="B38" s="1">
        <v>2024</v>
      </c>
      <c r="C38" s="1">
        <v>6</v>
      </c>
      <c r="D38" s="1">
        <v>2</v>
      </c>
      <c r="E38" s="1">
        <v>2</v>
      </c>
      <c r="F38" s="1">
        <v>5</v>
      </c>
      <c r="G38" s="1">
        <v>191</v>
      </c>
      <c r="H38" s="1">
        <v>202</v>
      </c>
      <c r="I38" s="1">
        <v>9</v>
      </c>
      <c r="J38" s="1">
        <v>3</v>
      </c>
      <c r="K38" s="1">
        <v>79</v>
      </c>
      <c r="L38" s="1">
        <v>73</v>
      </c>
      <c r="M38" s="1" t="s">
        <v>12</v>
      </c>
      <c r="O38" t="str">
        <f t="shared" si="0"/>
        <v>update squaregridwinners set WinningTeam = 191, LosingTeam = 202 where BusinessUnit = 'USADVB' and YearPick = 2024 and EventType = 6 and PoolNbr = 2 and Quarter = 2 and SeqNo = 5;</v>
      </c>
    </row>
    <row r="39" spans="1:15" x14ac:dyDescent="0.3">
      <c r="A39" t="s">
        <v>381</v>
      </c>
      <c r="B39" s="1">
        <v>2024</v>
      </c>
      <c r="C39" s="1">
        <v>6</v>
      </c>
      <c r="D39" s="1">
        <v>2</v>
      </c>
      <c r="E39" s="1">
        <v>2</v>
      </c>
      <c r="F39" s="1">
        <v>6</v>
      </c>
      <c r="G39" s="1">
        <v>269</v>
      </c>
      <c r="H39" s="1">
        <v>273</v>
      </c>
      <c r="I39" s="1">
        <v>2</v>
      </c>
      <c r="J39" s="1">
        <v>8</v>
      </c>
      <c r="K39" s="1">
        <v>62</v>
      </c>
      <c r="L39" s="1">
        <v>58</v>
      </c>
      <c r="M39" s="1" t="s">
        <v>12</v>
      </c>
      <c r="O39" t="str">
        <f t="shared" si="0"/>
        <v>update squaregridwinners set WinningTeam = 269, LosingTeam = 273 where BusinessUnit = 'USADVB' and YearPick = 2024 and EventType = 6 and PoolNbr = 2 and Quarter = 2 and SeqNo = 6;</v>
      </c>
    </row>
    <row r="40" spans="1:15" x14ac:dyDescent="0.3">
      <c r="A40" t="s">
        <v>381</v>
      </c>
      <c r="B40" s="1">
        <v>2024</v>
      </c>
      <c r="C40" s="1">
        <v>6</v>
      </c>
      <c r="D40" s="1">
        <v>2</v>
      </c>
      <c r="E40" s="1">
        <v>2</v>
      </c>
      <c r="F40" s="1">
        <v>7</v>
      </c>
      <c r="G40" s="1">
        <v>115</v>
      </c>
      <c r="H40" s="1">
        <v>73</v>
      </c>
      <c r="I40" s="1">
        <v>9</v>
      </c>
      <c r="J40" s="1">
        <v>3</v>
      </c>
      <c r="K40" s="1">
        <v>89</v>
      </c>
      <c r="L40" s="1">
        <v>63</v>
      </c>
      <c r="M40" s="1" t="s">
        <v>12</v>
      </c>
      <c r="O40" t="str">
        <f t="shared" si="0"/>
        <v>update squaregridwinners set WinningTeam = 115, LosingTeam = 73 where BusinessUnit = 'USADVB' and YearPick = 2024 and EventType = 6 and PoolNbr = 2 and Quarter = 2 and SeqNo = 7;</v>
      </c>
    </row>
    <row r="41" spans="1:15" x14ac:dyDescent="0.3">
      <c r="A41" t="s">
        <v>381</v>
      </c>
      <c r="B41" s="1">
        <v>2024</v>
      </c>
      <c r="C41" s="1">
        <v>6</v>
      </c>
      <c r="D41" s="1">
        <v>2</v>
      </c>
      <c r="E41" s="1">
        <v>2</v>
      </c>
      <c r="F41" s="1">
        <v>8</v>
      </c>
      <c r="G41" s="1">
        <v>61</v>
      </c>
      <c r="H41" s="1">
        <v>209</v>
      </c>
      <c r="I41" s="1">
        <v>6</v>
      </c>
      <c r="J41" s="1">
        <v>3</v>
      </c>
      <c r="K41" s="1">
        <v>86</v>
      </c>
      <c r="L41" s="1">
        <v>73</v>
      </c>
      <c r="M41" s="1" t="s">
        <v>12</v>
      </c>
      <c r="O41" t="str">
        <f t="shared" si="0"/>
        <v>update squaregridwinners set WinningTeam = 61, LosingTeam = 209 where BusinessUnit = 'USADVB' and YearPick = 2024 and EventType = 6 and PoolNbr = 2 and Quarter = 2 and SeqNo = 8;</v>
      </c>
    </row>
    <row r="42" spans="1:15" x14ac:dyDescent="0.3">
      <c r="A42" t="s">
        <v>381</v>
      </c>
      <c r="B42" s="1">
        <v>2024</v>
      </c>
      <c r="C42" s="1">
        <v>6</v>
      </c>
      <c r="D42" s="1">
        <v>2</v>
      </c>
      <c r="E42" s="1">
        <v>2</v>
      </c>
      <c r="F42" s="1">
        <v>9</v>
      </c>
      <c r="G42" s="1">
        <v>152</v>
      </c>
      <c r="H42" s="1">
        <v>55</v>
      </c>
      <c r="I42" s="1">
        <v>1</v>
      </c>
      <c r="J42" s="1">
        <v>7</v>
      </c>
      <c r="K42" s="1">
        <v>81</v>
      </c>
      <c r="L42" s="1">
        <v>77</v>
      </c>
      <c r="M42" s="1" t="s">
        <v>12</v>
      </c>
      <c r="O42" t="str">
        <f t="shared" si="0"/>
        <v>update squaregridwinners set WinningTeam = 152, LosingTeam = 55 where BusinessUnit = 'USADVB' and YearPick = 2024 and EventType = 6 and PoolNbr = 2 and Quarter = 2 and SeqNo = 9;</v>
      </c>
    </row>
    <row r="43" spans="1:15" x14ac:dyDescent="0.3">
      <c r="A43" t="s">
        <v>381</v>
      </c>
      <c r="B43" s="1">
        <v>2024</v>
      </c>
      <c r="C43" s="1">
        <v>6</v>
      </c>
      <c r="D43" s="1">
        <v>2</v>
      </c>
      <c r="E43" s="1">
        <v>2</v>
      </c>
      <c r="F43" s="1">
        <v>10</v>
      </c>
      <c r="G43" s="1">
        <v>222</v>
      </c>
      <c r="H43" s="1">
        <v>312</v>
      </c>
      <c r="I43" s="1">
        <v>6</v>
      </c>
      <c r="J43" s="1">
        <v>7</v>
      </c>
      <c r="K43" s="1">
        <v>106</v>
      </c>
      <c r="L43" s="1">
        <v>67</v>
      </c>
      <c r="M43" s="1" t="s">
        <v>12</v>
      </c>
      <c r="O43" t="str">
        <f t="shared" si="0"/>
        <v>update squaregridwinners set WinningTeam = 222, LosingTeam = 312 where BusinessUnit = 'USADVB' and YearPick = 2024 and EventType = 6 and PoolNbr = 2 and Quarter = 2 and SeqNo = 10;</v>
      </c>
    </row>
    <row r="44" spans="1:15" x14ac:dyDescent="0.3">
      <c r="A44" t="s">
        <v>381</v>
      </c>
      <c r="B44" s="1">
        <v>2024</v>
      </c>
      <c r="C44" s="1">
        <v>6</v>
      </c>
      <c r="D44" s="1">
        <v>2</v>
      </c>
      <c r="E44" s="1">
        <v>2</v>
      </c>
      <c r="F44" s="1">
        <v>11</v>
      </c>
      <c r="G44" s="1">
        <v>72</v>
      </c>
      <c r="H44" s="1">
        <v>127</v>
      </c>
      <c r="I44" s="1">
        <v>3</v>
      </c>
      <c r="J44" s="1">
        <v>5</v>
      </c>
      <c r="K44" s="1">
        <v>93</v>
      </c>
      <c r="L44" s="1">
        <v>55</v>
      </c>
      <c r="M44" s="1" t="s">
        <v>12</v>
      </c>
      <c r="O44" t="str">
        <f t="shared" si="0"/>
        <v>update squaregridwinners set WinningTeam = 72, LosingTeam = 127 where BusinessUnit = 'USADVB' and YearPick = 2024 and EventType = 6 and PoolNbr = 2 and Quarter = 2 and SeqNo = 11;</v>
      </c>
    </row>
    <row r="45" spans="1:15" x14ac:dyDescent="0.3">
      <c r="A45" t="s">
        <v>381</v>
      </c>
      <c r="B45" s="1">
        <v>2024</v>
      </c>
      <c r="C45" s="1">
        <v>6</v>
      </c>
      <c r="D45" s="1">
        <v>2</v>
      </c>
      <c r="E45" s="1">
        <v>2</v>
      </c>
      <c r="F45" s="1">
        <v>12</v>
      </c>
      <c r="G45" s="1">
        <v>50</v>
      </c>
      <c r="H45" s="1">
        <v>19</v>
      </c>
      <c r="I45" s="1">
        <v>2</v>
      </c>
      <c r="J45" s="1">
        <v>4</v>
      </c>
      <c r="K45" s="1">
        <v>72</v>
      </c>
      <c r="L45" s="1">
        <v>64</v>
      </c>
      <c r="M45" s="1" t="s">
        <v>12</v>
      </c>
      <c r="O45" t="str">
        <f t="shared" si="0"/>
        <v>update squaregridwinners set WinningTeam = 50, LosingTeam = 19 where BusinessUnit = 'USADVB' and YearPick = 2024 and EventType = 6 and PoolNbr = 2 and Quarter = 2 and SeqNo = 12;</v>
      </c>
    </row>
    <row r="46" spans="1:15" x14ac:dyDescent="0.3">
      <c r="A46" t="s">
        <v>381</v>
      </c>
      <c r="B46" s="1">
        <v>2024</v>
      </c>
      <c r="C46" s="1">
        <v>6</v>
      </c>
      <c r="D46" s="1">
        <v>2</v>
      </c>
      <c r="E46" s="1">
        <v>2</v>
      </c>
      <c r="F46" s="1">
        <v>13</v>
      </c>
      <c r="G46" s="1">
        <v>3</v>
      </c>
      <c r="H46" s="1">
        <v>363</v>
      </c>
      <c r="I46" s="1">
        <v>2</v>
      </c>
      <c r="J46" s="1">
        <v>1</v>
      </c>
      <c r="K46" s="1">
        <v>72</v>
      </c>
      <c r="L46" s="1">
        <v>61</v>
      </c>
      <c r="M46" s="1" t="s">
        <v>12</v>
      </c>
      <c r="O46" t="str">
        <f t="shared" si="0"/>
        <v>update squaregridwinners set WinningTeam = 3, LosingTeam = 363 where BusinessUnit = 'USADVB' and YearPick = 2024 and EventType = 6 and PoolNbr = 2 and Quarter = 2 and SeqNo = 13;</v>
      </c>
    </row>
    <row r="47" spans="1:15" x14ac:dyDescent="0.3">
      <c r="A47" t="s">
        <v>381</v>
      </c>
      <c r="B47" s="1">
        <v>2024</v>
      </c>
      <c r="C47" s="1">
        <v>6</v>
      </c>
      <c r="D47" s="1">
        <v>2</v>
      </c>
      <c r="E47" s="1">
        <v>2</v>
      </c>
      <c r="F47" s="1">
        <v>14</v>
      </c>
      <c r="G47" s="1">
        <v>58</v>
      </c>
      <c r="H47" s="1">
        <v>199</v>
      </c>
      <c r="I47" s="1">
        <v>5</v>
      </c>
      <c r="J47" s="1">
        <v>8</v>
      </c>
      <c r="K47" s="1">
        <v>75</v>
      </c>
      <c r="L47" s="1">
        <v>58</v>
      </c>
      <c r="M47" s="1" t="s">
        <v>12</v>
      </c>
      <c r="O47" t="str">
        <f t="shared" si="0"/>
        <v>update squaregridwinners set WinningTeam = 58, LosingTeam = 199 where BusinessUnit = 'USADVB' and YearPick = 2024 and EventType = 6 and PoolNbr = 2 and Quarter = 2 and SeqNo = 14;</v>
      </c>
    </row>
    <row r="48" spans="1:15" x14ac:dyDescent="0.3">
      <c r="A48" t="s">
        <v>381</v>
      </c>
      <c r="B48" s="1">
        <v>2024</v>
      </c>
      <c r="C48" s="1">
        <v>6</v>
      </c>
      <c r="D48" s="1">
        <v>2</v>
      </c>
      <c r="E48" s="1">
        <v>2</v>
      </c>
      <c r="F48" s="1">
        <v>15</v>
      </c>
      <c r="G48" s="1">
        <v>111</v>
      </c>
      <c r="H48" s="1">
        <v>274</v>
      </c>
      <c r="I48" s="1">
        <v>0</v>
      </c>
      <c r="J48" s="1">
        <v>5</v>
      </c>
      <c r="K48" s="1">
        <v>100</v>
      </c>
      <c r="L48" s="1">
        <v>95</v>
      </c>
      <c r="M48" s="1" t="s">
        <v>12</v>
      </c>
      <c r="O48" t="str">
        <f t="shared" si="0"/>
        <v>update squaregridwinners set WinningTeam = 111, LosingTeam = 274 where BusinessUnit = 'USADVB' and YearPick = 2024 and EventType = 6 and PoolNbr = 2 and Quarter = 2 and SeqNo = 15;</v>
      </c>
    </row>
    <row r="49" spans="1:15" x14ac:dyDescent="0.3">
      <c r="A49" t="s">
        <v>381</v>
      </c>
      <c r="B49" s="1">
        <v>2024</v>
      </c>
      <c r="C49" s="1">
        <v>6</v>
      </c>
      <c r="D49" s="1">
        <v>2</v>
      </c>
      <c r="E49" s="1">
        <v>2</v>
      </c>
      <c r="F49" s="1">
        <v>16</v>
      </c>
      <c r="G49" s="1">
        <v>241</v>
      </c>
      <c r="H49" s="1">
        <v>340</v>
      </c>
      <c r="I49" s="1">
        <v>5</v>
      </c>
      <c r="J49" s="1">
        <v>7</v>
      </c>
      <c r="K49" s="1">
        <v>85</v>
      </c>
      <c r="L49" s="1">
        <v>57</v>
      </c>
      <c r="M49" s="1" t="s">
        <v>12</v>
      </c>
      <c r="O49" t="str">
        <f t="shared" si="0"/>
        <v>update squaregridwinners set WinningTeam = 241, LosingTeam = 340 where BusinessUnit = 'USADVB' and YearPick = 2024 and EventType = 6 and PoolNbr = 2 and Quarter = 2 and SeqNo = 16;</v>
      </c>
    </row>
    <row r="50" spans="1:15" x14ac:dyDescent="0.3">
      <c r="A50" t="s">
        <v>381</v>
      </c>
      <c r="B50" s="1">
        <v>2024</v>
      </c>
      <c r="C50" s="1">
        <v>6</v>
      </c>
      <c r="D50" s="1">
        <v>2</v>
      </c>
      <c r="E50" s="1">
        <v>3</v>
      </c>
      <c r="F50" s="1">
        <v>1</v>
      </c>
      <c r="G50" s="1">
        <v>50</v>
      </c>
      <c r="H50" s="1">
        <v>10</v>
      </c>
      <c r="I50" s="1">
        <f>MOD(K50,10)</f>
        <v>7</v>
      </c>
      <c r="J50" s="1">
        <f>MOD(L50,10)</f>
        <v>2</v>
      </c>
      <c r="K50" s="1">
        <v>77</v>
      </c>
      <c r="L50" s="1">
        <v>72</v>
      </c>
      <c r="M50" s="1" t="s">
        <v>12</v>
      </c>
      <c r="O50" t="str">
        <f t="shared" ref="O50:O53" si="1">CONCATENATE("insert into squaregridwinners values ('",A50,"',",B50,",",C50,",",D50,",",E50,",",F50,",",G50,",",H50,",",I50,",",J50,",",K50,",",L50,",'",M50,"');")</f>
        <v>insert into squaregridwinners values ('USADVB',2024,6,2,3,1,50,10,7,2,77,72,'Y');</v>
      </c>
    </row>
    <row r="51" spans="1:15" x14ac:dyDescent="0.3">
      <c r="A51" t="s">
        <v>381</v>
      </c>
      <c r="B51" s="1">
        <v>2024</v>
      </c>
      <c r="C51" s="1">
        <v>6</v>
      </c>
      <c r="D51" s="1">
        <v>2</v>
      </c>
      <c r="E51" s="1">
        <v>3</v>
      </c>
      <c r="F51" s="1">
        <v>2</v>
      </c>
      <c r="G51" s="1">
        <v>58</v>
      </c>
      <c r="H51" s="1">
        <v>241</v>
      </c>
      <c r="I51" s="1">
        <f t="shared" ref="I51:J57" si="2">MOD(K51,10)</f>
        <v>2</v>
      </c>
      <c r="J51" s="1">
        <f t="shared" si="2"/>
        <v>2</v>
      </c>
      <c r="K51" s="1">
        <v>82</v>
      </c>
      <c r="L51" s="1">
        <v>52</v>
      </c>
      <c r="M51" s="1" t="s">
        <v>12</v>
      </c>
      <c r="O51" t="str">
        <f t="shared" si="1"/>
        <v>insert into squaregridwinners values ('USADVB',2024,6,2,3,2,58,241,2,2,82,52,'Y');</v>
      </c>
    </row>
    <row r="52" spans="1:15" x14ac:dyDescent="0.3">
      <c r="A52" t="s">
        <v>381</v>
      </c>
      <c r="B52" s="1">
        <v>2024</v>
      </c>
      <c r="C52" s="1">
        <v>6</v>
      </c>
      <c r="D52" s="1">
        <v>2</v>
      </c>
      <c r="E52" s="1">
        <v>3</v>
      </c>
      <c r="F52" s="1">
        <v>3</v>
      </c>
      <c r="G52" s="1">
        <v>3</v>
      </c>
      <c r="H52" s="1">
        <v>186</v>
      </c>
      <c r="I52" s="1">
        <f t="shared" si="2"/>
        <v>9</v>
      </c>
      <c r="J52" s="1">
        <f t="shared" si="2"/>
        <v>7</v>
      </c>
      <c r="K52" s="1">
        <v>89</v>
      </c>
      <c r="L52" s="1">
        <v>87</v>
      </c>
      <c r="M52" s="1" t="s">
        <v>12</v>
      </c>
      <c r="O52" t="str">
        <f t="shared" si="1"/>
        <v>insert into squaregridwinners values ('USADVB',2024,6,2,3,3,3,186,9,7,89,87,'Y');</v>
      </c>
    </row>
    <row r="53" spans="1:15" x14ac:dyDescent="0.3">
      <c r="A53" t="s">
        <v>381</v>
      </c>
      <c r="B53" s="1">
        <v>2024</v>
      </c>
      <c r="C53" s="1">
        <v>6</v>
      </c>
      <c r="D53" s="1">
        <v>2</v>
      </c>
      <c r="E53" s="1">
        <v>3</v>
      </c>
      <c r="F53" s="1">
        <v>4</v>
      </c>
      <c r="G53" s="1">
        <v>115</v>
      </c>
      <c r="H53" s="1">
        <v>121</v>
      </c>
      <c r="I53" s="1">
        <f t="shared" si="2"/>
        <v>2</v>
      </c>
      <c r="J53" s="1">
        <f t="shared" si="2"/>
        <v>9</v>
      </c>
      <c r="K53" s="1">
        <v>72</v>
      </c>
      <c r="L53" s="1">
        <v>69</v>
      </c>
      <c r="M53" s="1" t="s">
        <v>12</v>
      </c>
      <c r="O53" t="str">
        <f t="shared" si="1"/>
        <v>insert into squaregridwinners values ('USADVB',2024,6,2,3,4,115,121,2,9,72,69,'Y');</v>
      </c>
    </row>
    <row r="54" spans="1:15" x14ac:dyDescent="0.3">
      <c r="A54" t="s">
        <v>381</v>
      </c>
      <c r="B54" s="1">
        <v>2024</v>
      </c>
      <c r="C54" s="1">
        <v>6</v>
      </c>
      <c r="D54" s="1">
        <v>2</v>
      </c>
      <c r="E54" s="1">
        <v>3</v>
      </c>
      <c r="F54" s="1">
        <v>5</v>
      </c>
      <c r="G54" s="1">
        <v>191</v>
      </c>
      <c r="H54" s="1">
        <v>152</v>
      </c>
      <c r="I54" s="1">
        <f t="shared" si="2"/>
        <v>7</v>
      </c>
      <c r="J54" s="1">
        <f t="shared" si="2"/>
        <v>8</v>
      </c>
      <c r="K54" s="1">
        <v>67</v>
      </c>
      <c r="L54" s="1">
        <v>58</v>
      </c>
      <c r="M54" s="1" t="s">
        <v>12</v>
      </c>
      <c r="O54" t="str">
        <f t="shared" ref="O54:O61" si="3">CONCATENATE("insert into squaregridwinners values ('",A54,"',",B54,",",C54,",",D54,",",E54,",",F54,",",G54,",",H54,",",I54,",",J54,",",K54,",",L54,",'",M54,"');")</f>
        <v>insert into squaregridwinners values ('USADVB',2024,6,2,3,5,191,152,7,8,67,58,'Y');</v>
      </c>
    </row>
    <row r="55" spans="1:15" x14ac:dyDescent="0.3">
      <c r="A55" t="s">
        <v>381</v>
      </c>
      <c r="B55" s="1">
        <v>2024</v>
      </c>
      <c r="C55" s="1">
        <v>6</v>
      </c>
      <c r="D55" s="1">
        <v>2</v>
      </c>
      <c r="E55" s="1">
        <v>3</v>
      </c>
      <c r="F55" s="1">
        <v>6</v>
      </c>
      <c r="G55" s="1">
        <v>222</v>
      </c>
      <c r="H55" s="1">
        <v>101</v>
      </c>
      <c r="I55" s="1">
        <f t="shared" si="2"/>
        <v>0</v>
      </c>
      <c r="J55" s="1">
        <f t="shared" si="2"/>
        <v>8</v>
      </c>
      <c r="K55" s="1">
        <v>80</v>
      </c>
      <c r="L55" s="1">
        <v>68</v>
      </c>
      <c r="M55" s="1" t="s">
        <v>12</v>
      </c>
      <c r="O55" t="str">
        <f t="shared" si="3"/>
        <v>insert into squaregridwinners values ('USADVB',2024,6,2,3,6,222,101,0,8,80,68,'Y');</v>
      </c>
    </row>
    <row r="56" spans="1:15" x14ac:dyDescent="0.3">
      <c r="A56" t="s">
        <v>381</v>
      </c>
      <c r="B56" s="1">
        <v>2024</v>
      </c>
      <c r="C56" s="1">
        <v>6</v>
      </c>
      <c r="D56" s="1">
        <v>2</v>
      </c>
      <c r="E56" s="1">
        <v>3</v>
      </c>
      <c r="F56" s="1">
        <v>7</v>
      </c>
      <c r="G56" s="1">
        <v>72</v>
      </c>
      <c r="H56" s="1">
        <v>111</v>
      </c>
      <c r="I56" s="1">
        <f t="shared" si="2"/>
        <v>4</v>
      </c>
      <c r="J56" s="1">
        <f t="shared" si="2"/>
        <v>1</v>
      </c>
      <c r="K56" s="1">
        <v>54</v>
      </c>
      <c r="L56" s="1">
        <v>51</v>
      </c>
      <c r="M56" s="1" t="s">
        <v>12</v>
      </c>
      <c r="O56" t="str">
        <f t="shared" si="3"/>
        <v>insert into squaregridwinners values ('USADVB',2024,6,2,3,7,72,111,4,1,54,51,'Y');</v>
      </c>
    </row>
    <row r="57" spans="1:15" x14ac:dyDescent="0.3">
      <c r="A57" t="s">
        <v>381</v>
      </c>
      <c r="B57" s="1">
        <v>2024</v>
      </c>
      <c r="C57" s="1">
        <v>6</v>
      </c>
      <c r="D57" s="1">
        <v>2</v>
      </c>
      <c r="E57" s="1">
        <v>3</v>
      </c>
      <c r="F57" s="1">
        <v>8</v>
      </c>
      <c r="G57" s="1">
        <v>269</v>
      </c>
      <c r="H57" s="1">
        <v>61</v>
      </c>
      <c r="I57" s="1">
        <f t="shared" si="2"/>
        <v>2</v>
      </c>
      <c r="J57" s="1">
        <f t="shared" si="2"/>
        <v>5</v>
      </c>
      <c r="K57" s="1">
        <v>82</v>
      </c>
      <c r="L57" s="1">
        <v>75</v>
      </c>
      <c r="M57" s="1" t="s">
        <v>12</v>
      </c>
      <c r="O57" t="str">
        <f t="shared" si="3"/>
        <v>insert into squaregridwinners values ('USADVB',2024,6,2,3,8,269,61,2,5,82,75,'Y');</v>
      </c>
    </row>
    <row r="58" spans="1:15" x14ac:dyDescent="0.3">
      <c r="A58" t="s">
        <v>381</v>
      </c>
      <c r="B58" s="1">
        <v>2024</v>
      </c>
      <c r="C58" s="1">
        <v>6</v>
      </c>
      <c r="D58" s="1">
        <v>2</v>
      </c>
      <c r="E58" s="1">
        <v>4</v>
      </c>
      <c r="F58" s="1">
        <v>1</v>
      </c>
      <c r="G58" s="1">
        <v>58</v>
      </c>
      <c r="H58" s="1">
        <v>115</v>
      </c>
      <c r="I58" s="1">
        <f>MOD(K58,10)</f>
        <v>7</v>
      </c>
      <c r="J58" s="1">
        <f>MOD(L58,10)</f>
        <v>2</v>
      </c>
      <c r="K58" s="1">
        <v>77</v>
      </c>
      <c r="L58" s="1">
        <v>52</v>
      </c>
      <c r="M58" s="1" t="s">
        <v>12</v>
      </c>
      <c r="O58" t="str">
        <f t="shared" si="3"/>
        <v>insert into squaregridwinners values ('USADVB',2024,6,2,4,1,58,115,7,2,77,52,'Y');</v>
      </c>
    </row>
    <row r="59" spans="1:15" x14ac:dyDescent="0.3">
      <c r="A59" t="s">
        <v>381</v>
      </c>
      <c r="B59" s="1">
        <v>2024</v>
      </c>
      <c r="C59" s="1">
        <v>6</v>
      </c>
      <c r="D59" s="1">
        <v>2</v>
      </c>
      <c r="E59" s="1">
        <v>4</v>
      </c>
      <c r="F59" s="1">
        <v>2</v>
      </c>
      <c r="G59" s="1">
        <v>3</v>
      </c>
      <c r="H59" s="1">
        <v>50</v>
      </c>
      <c r="I59" s="1">
        <f t="shared" ref="I59:J61" si="4">MOD(K59,10)</f>
        <v>9</v>
      </c>
      <c r="J59" s="1">
        <f t="shared" si="4"/>
        <v>2</v>
      </c>
      <c r="K59" s="1">
        <v>89</v>
      </c>
      <c r="L59" s="1">
        <v>82</v>
      </c>
      <c r="M59" s="1" t="s">
        <v>12</v>
      </c>
      <c r="O59" t="str">
        <f t="shared" si="3"/>
        <v>insert into squaregridwinners values ('USADVB',2024,6,2,4,2,3,50,9,2,89,82,'Y');</v>
      </c>
    </row>
    <row r="60" spans="1:15" x14ac:dyDescent="0.3">
      <c r="A60" t="s">
        <v>381</v>
      </c>
      <c r="B60" s="1">
        <v>2024</v>
      </c>
      <c r="C60" s="1">
        <v>6</v>
      </c>
      <c r="D60" s="1">
        <v>2</v>
      </c>
      <c r="E60" s="1">
        <v>4</v>
      </c>
      <c r="F60" s="1">
        <v>3</v>
      </c>
      <c r="G60" s="2">
        <v>222</v>
      </c>
      <c r="H60" s="2">
        <v>269</v>
      </c>
      <c r="I60" s="2">
        <f t="shared" si="4"/>
        <v>2</v>
      </c>
      <c r="J60" s="2">
        <f t="shared" si="4"/>
        <v>6</v>
      </c>
      <c r="K60" s="2">
        <v>72</v>
      </c>
      <c r="L60" s="2">
        <v>66</v>
      </c>
      <c r="M60" s="1" t="s">
        <v>12</v>
      </c>
      <c r="O60" t="str">
        <f t="shared" si="3"/>
        <v>insert into squaregridwinners values ('USADVB',2024,6,2,4,3,222,269,2,6,72,66,'Y');</v>
      </c>
    </row>
    <row r="61" spans="1:15" x14ac:dyDescent="0.3">
      <c r="A61" t="s">
        <v>381</v>
      </c>
      <c r="B61" s="1">
        <v>2024</v>
      </c>
      <c r="C61" s="1">
        <v>6</v>
      </c>
      <c r="D61" s="1">
        <v>2</v>
      </c>
      <c r="E61" s="1">
        <v>4</v>
      </c>
      <c r="F61" s="1">
        <v>4</v>
      </c>
      <c r="G61" s="3">
        <v>191</v>
      </c>
      <c r="H61" s="3">
        <v>72</v>
      </c>
      <c r="I61" s="3">
        <f t="shared" si="4"/>
        <v>6</v>
      </c>
      <c r="J61" s="3">
        <f t="shared" si="4"/>
        <v>4</v>
      </c>
      <c r="K61" s="3">
        <v>76</v>
      </c>
      <c r="L61" s="3">
        <v>64</v>
      </c>
      <c r="M61" s="1" t="s">
        <v>12</v>
      </c>
      <c r="O61" t="str">
        <f t="shared" si="3"/>
        <v>insert into squaregridwinners values ('USADVB',2024,6,2,4,4,191,72,6,4,76,64,'Y');</v>
      </c>
    </row>
    <row r="62" spans="1:15" x14ac:dyDescent="0.3">
      <c r="A62" t="s">
        <v>381</v>
      </c>
      <c r="B62" s="1">
        <v>2024</v>
      </c>
      <c r="C62" s="1">
        <v>6</v>
      </c>
      <c r="D62" s="1">
        <v>2</v>
      </c>
      <c r="E62" s="1">
        <v>5</v>
      </c>
      <c r="F62" s="1">
        <v>1</v>
      </c>
      <c r="G62" s="2">
        <v>222</v>
      </c>
      <c r="H62" s="2">
        <v>191</v>
      </c>
      <c r="I62" s="2">
        <f>MOD(K62,10)</f>
        <v>3</v>
      </c>
      <c r="J62" s="2">
        <f>MOD(L62,10)</f>
        <v>0</v>
      </c>
      <c r="K62" s="2">
        <v>63</v>
      </c>
      <c r="L62" s="2">
        <v>50</v>
      </c>
      <c r="M62" s="1" t="s">
        <v>12</v>
      </c>
      <c r="O62" t="str">
        <f t="shared" ref="O62:O63" si="5">CONCATENATE("insert into squaregridwinners values ('",A62,"',",B62,",",C62,",",D62,",",E62,",",F62,",",G62,",",H62,",",I62,",",J62,",",K62,",",L62,",'",M62,"');")</f>
        <v>insert into squaregridwinners values ('USADVB',2024,6,2,5,1,222,191,3,0,63,50,'Y');</v>
      </c>
    </row>
    <row r="63" spans="1:15" x14ac:dyDescent="0.3">
      <c r="A63" t="s">
        <v>381</v>
      </c>
      <c r="B63" s="1">
        <v>2024</v>
      </c>
      <c r="C63" s="1">
        <v>6</v>
      </c>
      <c r="D63" s="1">
        <v>2</v>
      </c>
      <c r="E63" s="1">
        <v>5</v>
      </c>
      <c r="F63" s="1">
        <v>2</v>
      </c>
      <c r="G63" s="3">
        <v>58</v>
      </c>
      <c r="H63" s="3">
        <v>3</v>
      </c>
      <c r="I63" s="3">
        <f t="shared" ref="I63:J63" si="6">MOD(K63,10)</f>
        <v>6</v>
      </c>
      <c r="J63" s="3">
        <f t="shared" si="6"/>
        <v>2</v>
      </c>
      <c r="K63" s="3">
        <v>86</v>
      </c>
      <c r="L63" s="3">
        <v>72</v>
      </c>
      <c r="M63" s="1" t="s">
        <v>12</v>
      </c>
      <c r="O63" t="str">
        <f t="shared" si="5"/>
        <v>insert into squaregridwinners values ('USADVB',2024,6,2,5,2,58,3,6,2,86,72,'Y');</v>
      </c>
    </row>
    <row r="64" spans="1:15" x14ac:dyDescent="0.3">
      <c r="A64" t="s">
        <v>381</v>
      </c>
      <c r="B64" s="1">
        <v>2024</v>
      </c>
      <c r="C64" s="1">
        <v>6</v>
      </c>
      <c r="D64" s="1">
        <v>2</v>
      </c>
      <c r="E64" s="1">
        <v>6</v>
      </c>
      <c r="F64" s="1">
        <v>1</v>
      </c>
      <c r="G64" s="1">
        <v>58</v>
      </c>
      <c r="H64" s="1">
        <v>222</v>
      </c>
      <c r="I64" s="1">
        <f>MOD(K64,10)</f>
        <v>5</v>
      </c>
      <c r="J64" s="1">
        <f>MOD(L64,10)</f>
        <v>0</v>
      </c>
      <c r="K64" s="1">
        <v>75</v>
      </c>
      <c r="L64" s="1">
        <v>60</v>
      </c>
      <c r="M64" s="1" t="s">
        <v>12</v>
      </c>
      <c r="O64" t="str">
        <f t="shared" ref="O64" si="7">CONCATENATE("insert into squaregridwinners values ('",A64,"',",B64,",",C64,",",D64,",",E64,",",F64,",",G64,",",H64,",",I64,",",J64,",",K64,",",L64,",'",M64,"');")</f>
        <v>insert into squaregridwinners values ('USADVB',2024,6,2,6,1,58,222,5,0,75,60,'Y');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DE38D-D191-45D1-8D0B-F406FA02B353}">
  <dimension ref="A1:B364"/>
  <sheetViews>
    <sheetView topLeftCell="A49" workbookViewId="0">
      <selection activeCell="A57" sqref="A57"/>
    </sheetView>
  </sheetViews>
  <sheetFormatPr defaultRowHeight="14.4" x14ac:dyDescent="0.3"/>
  <cols>
    <col min="1" max="1" width="8.109375" style="1" bestFit="1" customWidth="1"/>
    <col min="2" max="2" width="24.5546875" bestFit="1" customWidth="1"/>
  </cols>
  <sheetData>
    <row r="1" spans="1:2" x14ac:dyDescent="0.3">
      <c r="A1" s="1" t="s">
        <v>15</v>
      </c>
      <c r="B1" t="s">
        <v>16</v>
      </c>
    </row>
    <row r="2" spans="1:2" x14ac:dyDescent="0.3">
      <c r="A2" s="1">
        <v>1</v>
      </c>
      <c r="B2" t="s">
        <v>17</v>
      </c>
    </row>
    <row r="3" spans="1:2" x14ac:dyDescent="0.3">
      <c r="A3" s="1">
        <v>2</v>
      </c>
      <c r="B3" t="s">
        <v>18</v>
      </c>
    </row>
    <row r="4" spans="1:2" x14ac:dyDescent="0.3">
      <c r="A4" s="1">
        <v>3</v>
      </c>
      <c r="B4" t="s">
        <v>19</v>
      </c>
    </row>
    <row r="5" spans="1:2" x14ac:dyDescent="0.3">
      <c r="A5" s="1">
        <v>4</v>
      </c>
      <c r="B5" t="s">
        <v>20</v>
      </c>
    </row>
    <row r="6" spans="1:2" x14ac:dyDescent="0.3">
      <c r="A6" s="1">
        <v>5</v>
      </c>
      <c r="B6" t="s">
        <v>21</v>
      </c>
    </row>
    <row r="7" spans="1:2" x14ac:dyDescent="0.3">
      <c r="A7" s="1">
        <v>6</v>
      </c>
      <c r="B7" t="s">
        <v>22</v>
      </c>
    </row>
    <row r="8" spans="1:2" x14ac:dyDescent="0.3">
      <c r="A8" s="1">
        <v>7</v>
      </c>
      <c r="B8" t="s">
        <v>23</v>
      </c>
    </row>
    <row r="9" spans="1:2" x14ac:dyDescent="0.3">
      <c r="A9" s="1">
        <v>8</v>
      </c>
      <c r="B9" t="s">
        <v>24</v>
      </c>
    </row>
    <row r="10" spans="1:2" x14ac:dyDescent="0.3">
      <c r="A10" s="1">
        <v>9</v>
      </c>
      <c r="B10" t="s">
        <v>25</v>
      </c>
    </row>
    <row r="11" spans="1:2" x14ac:dyDescent="0.3">
      <c r="A11" s="1">
        <v>10</v>
      </c>
      <c r="B11" t="s">
        <v>26</v>
      </c>
    </row>
    <row r="12" spans="1:2" x14ac:dyDescent="0.3">
      <c r="A12" s="1">
        <v>11</v>
      </c>
      <c r="B12" t="s">
        <v>27</v>
      </c>
    </row>
    <row r="13" spans="1:2" x14ac:dyDescent="0.3">
      <c r="A13" s="1">
        <v>12</v>
      </c>
      <c r="B13" t="s">
        <v>28</v>
      </c>
    </row>
    <row r="14" spans="1:2" x14ac:dyDescent="0.3">
      <c r="A14" s="1">
        <v>13</v>
      </c>
      <c r="B14" t="s">
        <v>29</v>
      </c>
    </row>
    <row r="15" spans="1:2" x14ac:dyDescent="0.3">
      <c r="A15" s="1">
        <v>14</v>
      </c>
      <c r="B15" t="s">
        <v>30</v>
      </c>
    </row>
    <row r="16" spans="1:2" x14ac:dyDescent="0.3">
      <c r="A16" s="1">
        <v>15</v>
      </c>
      <c r="B16" t="s">
        <v>31</v>
      </c>
    </row>
    <row r="17" spans="1:2" x14ac:dyDescent="0.3">
      <c r="A17" s="1">
        <v>16</v>
      </c>
      <c r="B17" t="s">
        <v>32</v>
      </c>
    </row>
    <row r="18" spans="1:2" x14ac:dyDescent="0.3">
      <c r="A18" s="1">
        <v>17</v>
      </c>
      <c r="B18" t="s">
        <v>33</v>
      </c>
    </row>
    <row r="19" spans="1:2" x14ac:dyDescent="0.3">
      <c r="A19" s="1">
        <v>18</v>
      </c>
      <c r="B19" t="s">
        <v>34</v>
      </c>
    </row>
    <row r="20" spans="1:2" x14ac:dyDescent="0.3">
      <c r="A20" s="1">
        <v>19</v>
      </c>
      <c r="B20" t="s">
        <v>35</v>
      </c>
    </row>
    <row r="21" spans="1:2" x14ac:dyDescent="0.3">
      <c r="A21" s="1">
        <v>20</v>
      </c>
      <c r="B21" t="s">
        <v>36</v>
      </c>
    </row>
    <row r="22" spans="1:2" x14ac:dyDescent="0.3">
      <c r="A22" s="1">
        <v>21</v>
      </c>
      <c r="B22" t="s">
        <v>37</v>
      </c>
    </row>
    <row r="23" spans="1:2" x14ac:dyDescent="0.3">
      <c r="A23" s="1">
        <v>22</v>
      </c>
      <c r="B23" t="s">
        <v>38</v>
      </c>
    </row>
    <row r="24" spans="1:2" x14ac:dyDescent="0.3">
      <c r="A24" s="1">
        <v>23</v>
      </c>
      <c r="B24" t="s">
        <v>39</v>
      </c>
    </row>
    <row r="25" spans="1:2" x14ac:dyDescent="0.3">
      <c r="A25" s="1">
        <v>24</v>
      </c>
      <c r="B25" t="s">
        <v>40</v>
      </c>
    </row>
    <row r="26" spans="1:2" x14ac:dyDescent="0.3">
      <c r="A26" s="1">
        <v>25</v>
      </c>
      <c r="B26" t="s">
        <v>41</v>
      </c>
    </row>
    <row r="27" spans="1:2" x14ac:dyDescent="0.3">
      <c r="A27" s="1">
        <v>26</v>
      </c>
      <c r="B27" t="s">
        <v>42</v>
      </c>
    </row>
    <row r="28" spans="1:2" x14ac:dyDescent="0.3">
      <c r="A28" s="1">
        <v>27</v>
      </c>
      <c r="B28" t="s">
        <v>43</v>
      </c>
    </row>
    <row r="29" spans="1:2" x14ac:dyDescent="0.3">
      <c r="A29" s="1">
        <v>28</v>
      </c>
      <c r="B29" t="s">
        <v>44</v>
      </c>
    </row>
    <row r="30" spans="1:2" x14ac:dyDescent="0.3">
      <c r="A30" s="1">
        <v>29</v>
      </c>
      <c r="B30" t="s">
        <v>45</v>
      </c>
    </row>
    <row r="31" spans="1:2" x14ac:dyDescent="0.3">
      <c r="A31" s="1">
        <v>30</v>
      </c>
      <c r="B31" t="s">
        <v>46</v>
      </c>
    </row>
    <row r="32" spans="1:2" x14ac:dyDescent="0.3">
      <c r="A32" s="1">
        <v>31</v>
      </c>
      <c r="B32" t="s">
        <v>47</v>
      </c>
    </row>
    <row r="33" spans="1:2" x14ac:dyDescent="0.3">
      <c r="A33" s="1">
        <v>32</v>
      </c>
      <c r="B33" t="s">
        <v>48</v>
      </c>
    </row>
    <row r="34" spans="1:2" x14ac:dyDescent="0.3">
      <c r="A34" s="1">
        <v>33</v>
      </c>
      <c r="B34" t="s">
        <v>49</v>
      </c>
    </row>
    <row r="35" spans="1:2" x14ac:dyDescent="0.3">
      <c r="A35" s="1">
        <v>34</v>
      </c>
      <c r="B35" t="s">
        <v>50</v>
      </c>
    </row>
    <row r="36" spans="1:2" x14ac:dyDescent="0.3">
      <c r="A36" s="1">
        <v>35</v>
      </c>
      <c r="B36" t="s">
        <v>51</v>
      </c>
    </row>
    <row r="37" spans="1:2" x14ac:dyDescent="0.3">
      <c r="A37" s="1">
        <v>36</v>
      </c>
      <c r="B37" t="s">
        <v>52</v>
      </c>
    </row>
    <row r="38" spans="1:2" x14ac:dyDescent="0.3">
      <c r="A38" s="1">
        <v>37</v>
      </c>
      <c r="B38" t="s">
        <v>53</v>
      </c>
    </row>
    <row r="39" spans="1:2" x14ac:dyDescent="0.3">
      <c r="A39" s="1">
        <v>38</v>
      </c>
      <c r="B39" t="s">
        <v>54</v>
      </c>
    </row>
    <row r="40" spans="1:2" x14ac:dyDescent="0.3">
      <c r="A40" s="1">
        <v>39</v>
      </c>
      <c r="B40" t="s">
        <v>55</v>
      </c>
    </row>
    <row r="41" spans="1:2" x14ac:dyDescent="0.3">
      <c r="A41" s="1">
        <v>40</v>
      </c>
      <c r="B41" t="s">
        <v>56</v>
      </c>
    </row>
    <row r="42" spans="1:2" x14ac:dyDescent="0.3">
      <c r="A42" s="1">
        <v>41</v>
      </c>
      <c r="B42" t="s">
        <v>57</v>
      </c>
    </row>
    <row r="43" spans="1:2" x14ac:dyDescent="0.3">
      <c r="A43" s="1">
        <v>42</v>
      </c>
      <c r="B43" t="s">
        <v>58</v>
      </c>
    </row>
    <row r="44" spans="1:2" x14ac:dyDescent="0.3">
      <c r="A44" s="1">
        <v>43</v>
      </c>
      <c r="B44" t="s">
        <v>59</v>
      </c>
    </row>
    <row r="45" spans="1:2" x14ac:dyDescent="0.3">
      <c r="A45" s="1">
        <v>44</v>
      </c>
      <c r="B45" t="s">
        <v>60</v>
      </c>
    </row>
    <row r="46" spans="1:2" x14ac:dyDescent="0.3">
      <c r="A46" s="1">
        <v>45</v>
      </c>
      <c r="B46" t="s">
        <v>61</v>
      </c>
    </row>
    <row r="47" spans="1:2" x14ac:dyDescent="0.3">
      <c r="A47" s="1">
        <v>46</v>
      </c>
      <c r="B47" t="s">
        <v>62</v>
      </c>
    </row>
    <row r="48" spans="1:2" x14ac:dyDescent="0.3">
      <c r="A48" s="1">
        <v>47</v>
      </c>
      <c r="B48" t="s">
        <v>63</v>
      </c>
    </row>
    <row r="49" spans="1:2" x14ac:dyDescent="0.3">
      <c r="A49" s="1">
        <v>48</v>
      </c>
      <c r="B49" t="s">
        <v>64</v>
      </c>
    </row>
    <row r="50" spans="1:2" x14ac:dyDescent="0.3">
      <c r="A50" s="1">
        <v>49</v>
      </c>
      <c r="B50" t="s">
        <v>65</v>
      </c>
    </row>
    <row r="51" spans="1:2" x14ac:dyDescent="0.3">
      <c r="A51" s="1">
        <v>50</v>
      </c>
      <c r="B51" t="s">
        <v>66</v>
      </c>
    </row>
    <row r="52" spans="1:2" x14ac:dyDescent="0.3">
      <c r="A52" s="1">
        <v>51</v>
      </c>
      <c r="B52" t="s">
        <v>67</v>
      </c>
    </row>
    <row r="53" spans="1:2" x14ac:dyDescent="0.3">
      <c r="A53" s="1">
        <v>52</v>
      </c>
      <c r="B53" t="s">
        <v>68</v>
      </c>
    </row>
    <row r="54" spans="1:2" x14ac:dyDescent="0.3">
      <c r="A54" s="1">
        <v>53</v>
      </c>
      <c r="B54" t="s">
        <v>69</v>
      </c>
    </row>
    <row r="55" spans="1:2" x14ac:dyDescent="0.3">
      <c r="A55" s="1">
        <v>54</v>
      </c>
      <c r="B55" t="s">
        <v>70</v>
      </c>
    </row>
    <row r="56" spans="1:2" x14ac:dyDescent="0.3">
      <c r="A56" s="1">
        <v>55</v>
      </c>
      <c r="B56" t="s">
        <v>71</v>
      </c>
    </row>
    <row r="57" spans="1:2" x14ac:dyDescent="0.3">
      <c r="A57" s="1">
        <v>56</v>
      </c>
      <c r="B57" t="s">
        <v>72</v>
      </c>
    </row>
    <row r="58" spans="1:2" x14ac:dyDescent="0.3">
      <c r="A58" s="1">
        <v>57</v>
      </c>
      <c r="B58" t="s">
        <v>73</v>
      </c>
    </row>
    <row r="59" spans="1:2" x14ac:dyDescent="0.3">
      <c r="A59" s="1">
        <v>58</v>
      </c>
      <c r="B59" t="s">
        <v>74</v>
      </c>
    </row>
    <row r="60" spans="1:2" x14ac:dyDescent="0.3">
      <c r="A60" s="1">
        <v>59</v>
      </c>
      <c r="B60" t="s">
        <v>75</v>
      </c>
    </row>
    <row r="61" spans="1:2" x14ac:dyDescent="0.3">
      <c r="A61" s="1">
        <v>60</v>
      </c>
      <c r="B61" t="s">
        <v>76</v>
      </c>
    </row>
    <row r="62" spans="1:2" x14ac:dyDescent="0.3">
      <c r="A62" s="1">
        <v>61</v>
      </c>
      <c r="B62" t="s">
        <v>77</v>
      </c>
    </row>
    <row r="63" spans="1:2" x14ac:dyDescent="0.3">
      <c r="A63" s="1">
        <v>62</v>
      </c>
      <c r="B63" t="s">
        <v>78</v>
      </c>
    </row>
    <row r="64" spans="1:2" x14ac:dyDescent="0.3">
      <c r="A64" s="1">
        <v>63</v>
      </c>
      <c r="B64" t="s">
        <v>79</v>
      </c>
    </row>
    <row r="65" spans="1:2" x14ac:dyDescent="0.3">
      <c r="A65" s="1">
        <v>64</v>
      </c>
      <c r="B65" t="s">
        <v>80</v>
      </c>
    </row>
    <row r="66" spans="1:2" x14ac:dyDescent="0.3">
      <c r="A66" s="1">
        <v>65</v>
      </c>
      <c r="B66" t="s">
        <v>81</v>
      </c>
    </row>
    <row r="67" spans="1:2" x14ac:dyDescent="0.3">
      <c r="A67" s="1">
        <v>66</v>
      </c>
      <c r="B67" t="s">
        <v>82</v>
      </c>
    </row>
    <row r="68" spans="1:2" x14ac:dyDescent="0.3">
      <c r="A68" s="1">
        <v>67</v>
      </c>
      <c r="B68" t="s">
        <v>83</v>
      </c>
    </row>
    <row r="69" spans="1:2" x14ac:dyDescent="0.3">
      <c r="A69" s="1">
        <v>68</v>
      </c>
      <c r="B69" t="s">
        <v>84</v>
      </c>
    </row>
    <row r="70" spans="1:2" x14ac:dyDescent="0.3">
      <c r="A70" s="1">
        <v>69</v>
      </c>
      <c r="B70" t="s">
        <v>85</v>
      </c>
    </row>
    <row r="71" spans="1:2" x14ac:dyDescent="0.3">
      <c r="A71" s="1">
        <v>70</v>
      </c>
      <c r="B71" t="s">
        <v>86</v>
      </c>
    </row>
    <row r="72" spans="1:2" x14ac:dyDescent="0.3">
      <c r="A72" s="1">
        <v>71</v>
      </c>
      <c r="B72" t="s">
        <v>87</v>
      </c>
    </row>
    <row r="73" spans="1:2" x14ac:dyDescent="0.3">
      <c r="A73" s="1">
        <v>72</v>
      </c>
      <c r="B73" t="s">
        <v>88</v>
      </c>
    </row>
    <row r="74" spans="1:2" x14ac:dyDescent="0.3">
      <c r="A74" s="1">
        <v>73</v>
      </c>
      <c r="B74" t="s">
        <v>89</v>
      </c>
    </row>
    <row r="75" spans="1:2" x14ac:dyDescent="0.3">
      <c r="A75" s="1">
        <v>74</v>
      </c>
      <c r="B75" t="s">
        <v>90</v>
      </c>
    </row>
    <row r="76" spans="1:2" x14ac:dyDescent="0.3">
      <c r="A76" s="1">
        <v>75</v>
      </c>
      <c r="B76" t="s">
        <v>91</v>
      </c>
    </row>
    <row r="77" spans="1:2" x14ac:dyDescent="0.3">
      <c r="A77" s="1">
        <v>76</v>
      </c>
      <c r="B77" t="s">
        <v>92</v>
      </c>
    </row>
    <row r="78" spans="1:2" x14ac:dyDescent="0.3">
      <c r="A78" s="1">
        <v>77</v>
      </c>
      <c r="B78" t="s">
        <v>93</v>
      </c>
    </row>
    <row r="79" spans="1:2" x14ac:dyDescent="0.3">
      <c r="A79" s="1">
        <v>78</v>
      </c>
      <c r="B79" t="s">
        <v>94</v>
      </c>
    </row>
    <row r="80" spans="1:2" x14ac:dyDescent="0.3">
      <c r="A80" s="1">
        <v>79</v>
      </c>
      <c r="B80" t="s">
        <v>95</v>
      </c>
    </row>
    <row r="81" spans="1:2" x14ac:dyDescent="0.3">
      <c r="A81" s="1">
        <v>80</v>
      </c>
      <c r="B81" t="s">
        <v>96</v>
      </c>
    </row>
    <row r="82" spans="1:2" x14ac:dyDescent="0.3">
      <c r="A82" s="1">
        <v>81</v>
      </c>
      <c r="B82" t="s">
        <v>97</v>
      </c>
    </row>
    <row r="83" spans="1:2" x14ac:dyDescent="0.3">
      <c r="A83" s="1">
        <v>82</v>
      </c>
      <c r="B83" t="s">
        <v>98</v>
      </c>
    </row>
    <row r="84" spans="1:2" x14ac:dyDescent="0.3">
      <c r="A84" s="1">
        <v>83</v>
      </c>
      <c r="B84" t="s">
        <v>99</v>
      </c>
    </row>
    <row r="85" spans="1:2" x14ac:dyDescent="0.3">
      <c r="A85" s="1">
        <v>84</v>
      </c>
      <c r="B85" t="s">
        <v>100</v>
      </c>
    </row>
    <row r="86" spans="1:2" x14ac:dyDescent="0.3">
      <c r="A86" s="1">
        <v>85</v>
      </c>
      <c r="B86" t="s">
        <v>101</v>
      </c>
    </row>
    <row r="87" spans="1:2" x14ac:dyDescent="0.3">
      <c r="A87" s="1">
        <v>86</v>
      </c>
      <c r="B87" t="s">
        <v>102</v>
      </c>
    </row>
    <row r="88" spans="1:2" x14ac:dyDescent="0.3">
      <c r="A88" s="1">
        <v>87</v>
      </c>
      <c r="B88" t="s">
        <v>103</v>
      </c>
    </row>
    <row r="89" spans="1:2" x14ac:dyDescent="0.3">
      <c r="A89" s="1">
        <v>88</v>
      </c>
      <c r="B89" t="s">
        <v>104</v>
      </c>
    </row>
    <row r="90" spans="1:2" x14ac:dyDescent="0.3">
      <c r="A90" s="1">
        <v>89</v>
      </c>
      <c r="B90" t="s">
        <v>105</v>
      </c>
    </row>
    <row r="91" spans="1:2" x14ac:dyDescent="0.3">
      <c r="A91" s="1">
        <v>90</v>
      </c>
      <c r="B91" t="s">
        <v>106</v>
      </c>
    </row>
    <row r="92" spans="1:2" x14ac:dyDescent="0.3">
      <c r="A92" s="1">
        <v>91</v>
      </c>
      <c r="B92" t="s">
        <v>107</v>
      </c>
    </row>
    <row r="93" spans="1:2" x14ac:dyDescent="0.3">
      <c r="A93" s="1">
        <v>92</v>
      </c>
      <c r="B93" t="s">
        <v>108</v>
      </c>
    </row>
    <row r="94" spans="1:2" x14ac:dyDescent="0.3">
      <c r="A94" s="1">
        <v>93</v>
      </c>
      <c r="B94" t="s">
        <v>109</v>
      </c>
    </row>
    <row r="95" spans="1:2" x14ac:dyDescent="0.3">
      <c r="A95" s="1">
        <v>94</v>
      </c>
      <c r="B95" t="s">
        <v>110</v>
      </c>
    </row>
    <row r="96" spans="1:2" x14ac:dyDescent="0.3">
      <c r="A96" s="1">
        <v>95</v>
      </c>
      <c r="B96" t="s">
        <v>111</v>
      </c>
    </row>
    <row r="97" spans="1:2" x14ac:dyDescent="0.3">
      <c r="A97" s="1">
        <v>96</v>
      </c>
      <c r="B97" t="s">
        <v>112</v>
      </c>
    </row>
    <row r="98" spans="1:2" x14ac:dyDescent="0.3">
      <c r="A98" s="1">
        <v>97</v>
      </c>
      <c r="B98" t="s">
        <v>113</v>
      </c>
    </row>
    <row r="99" spans="1:2" x14ac:dyDescent="0.3">
      <c r="A99" s="1">
        <v>98</v>
      </c>
      <c r="B99" t="s">
        <v>114</v>
      </c>
    </row>
    <row r="100" spans="1:2" x14ac:dyDescent="0.3">
      <c r="A100" s="1">
        <v>99</v>
      </c>
      <c r="B100" t="s">
        <v>115</v>
      </c>
    </row>
    <row r="101" spans="1:2" x14ac:dyDescent="0.3">
      <c r="A101" s="1">
        <v>100</v>
      </c>
      <c r="B101" t="s">
        <v>116</v>
      </c>
    </row>
    <row r="102" spans="1:2" x14ac:dyDescent="0.3">
      <c r="A102" s="1">
        <v>101</v>
      </c>
      <c r="B102" t="s">
        <v>117</v>
      </c>
    </row>
    <row r="103" spans="1:2" x14ac:dyDescent="0.3">
      <c r="A103" s="1">
        <v>102</v>
      </c>
      <c r="B103" t="s">
        <v>118</v>
      </c>
    </row>
    <row r="104" spans="1:2" x14ac:dyDescent="0.3">
      <c r="A104" s="1">
        <v>103</v>
      </c>
      <c r="B104" t="s">
        <v>119</v>
      </c>
    </row>
    <row r="105" spans="1:2" x14ac:dyDescent="0.3">
      <c r="A105" s="1">
        <v>104</v>
      </c>
      <c r="B105" t="s">
        <v>120</v>
      </c>
    </row>
    <row r="106" spans="1:2" x14ac:dyDescent="0.3">
      <c r="A106" s="1">
        <v>105</v>
      </c>
      <c r="B106" t="s">
        <v>121</v>
      </c>
    </row>
    <row r="107" spans="1:2" x14ac:dyDescent="0.3">
      <c r="A107" s="1">
        <v>106</v>
      </c>
      <c r="B107" t="s">
        <v>122</v>
      </c>
    </row>
    <row r="108" spans="1:2" x14ac:dyDescent="0.3">
      <c r="A108" s="1">
        <v>107</v>
      </c>
      <c r="B108" t="s">
        <v>123</v>
      </c>
    </row>
    <row r="109" spans="1:2" x14ac:dyDescent="0.3">
      <c r="A109" s="1">
        <v>108</v>
      </c>
      <c r="B109" t="s">
        <v>124</v>
      </c>
    </row>
    <row r="110" spans="1:2" x14ac:dyDescent="0.3">
      <c r="A110" s="1">
        <v>109</v>
      </c>
      <c r="B110" t="s">
        <v>125</v>
      </c>
    </row>
    <row r="111" spans="1:2" x14ac:dyDescent="0.3">
      <c r="A111" s="1">
        <v>110</v>
      </c>
      <c r="B111" t="s">
        <v>126</v>
      </c>
    </row>
    <row r="112" spans="1:2" x14ac:dyDescent="0.3">
      <c r="A112" s="1">
        <v>111</v>
      </c>
      <c r="B112" t="s">
        <v>127</v>
      </c>
    </row>
    <row r="113" spans="1:2" x14ac:dyDescent="0.3">
      <c r="A113" s="1">
        <v>112</v>
      </c>
      <c r="B113" t="s">
        <v>128</v>
      </c>
    </row>
    <row r="114" spans="1:2" x14ac:dyDescent="0.3">
      <c r="A114" s="1">
        <v>113</v>
      </c>
      <c r="B114" t="s">
        <v>129</v>
      </c>
    </row>
    <row r="115" spans="1:2" x14ac:dyDescent="0.3">
      <c r="A115" s="1">
        <v>114</v>
      </c>
      <c r="B115" t="s">
        <v>130</v>
      </c>
    </row>
    <row r="116" spans="1:2" x14ac:dyDescent="0.3">
      <c r="A116" s="1">
        <v>115</v>
      </c>
      <c r="B116" t="s">
        <v>131</v>
      </c>
    </row>
    <row r="117" spans="1:2" x14ac:dyDescent="0.3">
      <c r="A117" s="1">
        <v>116</v>
      </c>
      <c r="B117" t="s">
        <v>132</v>
      </c>
    </row>
    <row r="118" spans="1:2" x14ac:dyDescent="0.3">
      <c r="A118" s="1">
        <v>117</v>
      </c>
      <c r="B118" t="s">
        <v>133</v>
      </c>
    </row>
    <row r="119" spans="1:2" x14ac:dyDescent="0.3">
      <c r="A119" s="1">
        <v>118</v>
      </c>
      <c r="B119" t="s">
        <v>134</v>
      </c>
    </row>
    <row r="120" spans="1:2" x14ac:dyDescent="0.3">
      <c r="A120" s="1">
        <v>119</v>
      </c>
      <c r="B120" t="s">
        <v>135</v>
      </c>
    </row>
    <row r="121" spans="1:2" x14ac:dyDescent="0.3">
      <c r="A121" s="1">
        <v>120</v>
      </c>
      <c r="B121" t="s">
        <v>136</v>
      </c>
    </row>
    <row r="122" spans="1:2" x14ac:dyDescent="0.3">
      <c r="A122" s="1">
        <v>121</v>
      </c>
      <c r="B122" t="s">
        <v>137</v>
      </c>
    </row>
    <row r="123" spans="1:2" x14ac:dyDescent="0.3">
      <c r="A123" s="1">
        <v>122</v>
      </c>
      <c r="B123" t="s">
        <v>138</v>
      </c>
    </row>
    <row r="124" spans="1:2" x14ac:dyDescent="0.3">
      <c r="A124" s="1">
        <v>123</v>
      </c>
      <c r="B124" t="s">
        <v>139</v>
      </c>
    </row>
    <row r="125" spans="1:2" x14ac:dyDescent="0.3">
      <c r="A125" s="1">
        <v>124</v>
      </c>
      <c r="B125" t="s">
        <v>140</v>
      </c>
    </row>
    <row r="126" spans="1:2" x14ac:dyDescent="0.3">
      <c r="A126" s="1">
        <v>125</v>
      </c>
      <c r="B126" t="s">
        <v>141</v>
      </c>
    </row>
    <row r="127" spans="1:2" x14ac:dyDescent="0.3">
      <c r="A127" s="1">
        <v>126</v>
      </c>
      <c r="B127" t="s">
        <v>142</v>
      </c>
    </row>
    <row r="128" spans="1:2" x14ac:dyDescent="0.3">
      <c r="A128" s="1">
        <v>127</v>
      </c>
      <c r="B128" t="s">
        <v>143</v>
      </c>
    </row>
    <row r="129" spans="1:2" x14ac:dyDescent="0.3">
      <c r="A129" s="1">
        <v>128</v>
      </c>
      <c r="B129" t="s">
        <v>144</v>
      </c>
    </row>
    <row r="130" spans="1:2" x14ac:dyDescent="0.3">
      <c r="A130" s="1">
        <v>129</v>
      </c>
      <c r="B130" t="s">
        <v>145</v>
      </c>
    </row>
    <row r="131" spans="1:2" x14ac:dyDescent="0.3">
      <c r="A131" s="1">
        <v>130</v>
      </c>
      <c r="B131" t="s">
        <v>146</v>
      </c>
    </row>
    <row r="132" spans="1:2" x14ac:dyDescent="0.3">
      <c r="A132" s="1">
        <v>131</v>
      </c>
      <c r="B132" t="s">
        <v>147</v>
      </c>
    </row>
    <row r="133" spans="1:2" x14ac:dyDescent="0.3">
      <c r="A133" s="1">
        <v>132</v>
      </c>
      <c r="B133" t="s">
        <v>148</v>
      </c>
    </row>
    <row r="134" spans="1:2" x14ac:dyDescent="0.3">
      <c r="A134" s="1">
        <v>133</v>
      </c>
      <c r="B134" t="s">
        <v>149</v>
      </c>
    </row>
    <row r="135" spans="1:2" x14ac:dyDescent="0.3">
      <c r="A135" s="1">
        <v>134</v>
      </c>
      <c r="B135" t="s">
        <v>150</v>
      </c>
    </row>
    <row r="136" spans="1:2" x14ac:dyDescent="0.3">
      <c r="A136" s="1">
        <v>135</v>
      </c>
      <c r="B136" t="s">
        <v>151</v>
      </c>
    </row>
    <row r="137" spans="1:2" x14ac:dyDescent="0.3">
      <c r="A137" s="1">
        <v>136</v>
      </c>
      <c r="B137" t="s">
        <v>152</v>
      </c>
    </row>
    <row r="138" spans="1:2" x14ac:dyDescent="0.3">
      <c r="A138" s="1">
        <v>137</v>
      </c>
      <c r="B138" t="s">
        <v>153</v>
      </c>
    </row>
    <row r="139" spans="1:2" x14ac:dyDescent="0.3">
      <c r="A139" s="1">
        <v>138</v>
      </c>
      <c r="B139" t="s">
        <v>154</v>
      </c>
    </row>
    <row r="140" spans="1:2" x14ac:dyDescent="0.3">
      <c r="A140" s="1">
        <v>139</v>
      </c>
      <c r="B140" t="s">
        <v>155</v>
      </c>
    </row>
    <row r="141" spans="1:2" x14ac:dyDescent="0.3">
      <c r="A141" s="1">
        <v>140</v>
      </c>
      <c r="B141" t="s">
        <v>156</v>
      </c>
    </row>
    <row r="142" spans="1:2" x14ac:dyDescent="0.3">
      <c r="A142" s="1">
        <v>141</v>
      </c>
      <c r="B142" t="s">
        <v>157</v>
      </c>
    </row>
    <row r="143" spans="1:2" x14ac:dyDescent="0.3">
      <c r="A143" s="1">
        <v>142</v>
      </c>
      <c r="B143" t="s">
        <v>158</v>
      </c>
    </row>
    <row r="144" spans="1:2" x14ac:dyDescent="0.3">
      <c r="A144" s="1">
        <v>143</v>
      </c>
      <c r="B144" t="s">
        <v>159</v>
      </c>
    </row>
    <row r="145" spans="1:2" x14ac:dyDescent="0.3">
      <c r="A145" s="1">
        <v>144</v>
      </c>
      <c r="B145" t="s">
        <v>160</v>
      </c>
    </row>
    <row r="146" spans="1:2" x14ac:dyDescent="0.3">
      <c r="A146" s="1">
        <v>145</v>
      </c>
      <c r="B146" t="s">
        <v>161</v>
      </c>
    </row>
    <row r="147" spans="1:2" x14ac:dyDescent="0.3">
      <c r="A147" s="1">
        <v>146</v>
      </c>
      <c r="B147" t="s">
        <v>162</v>
      </c>
    </row>
    <row r="148" spans="1:2" x14ac:dyDescent="0.3">
      <c r="A148" s="1">
        <v>147</v>
      </c>
      <c r="B148" t="s">
        <v>163</v>
      </c>
    </row>
    <row r="149" spans="1:2" x14ac:dyDescent="0.3">
      <c r="A149" s="1">
        <v>148</v>
      </c>
      <c r="B149" t="s">
        <v>164</v>
      </c>
    </row>
    <row r="150" spans="1:2" x14ac:dyDescent="0.3">
      <c r="A150" s="1">
        <v>149</v>
      </c>
      <c r="B150" t="s">
        <v>165</v>
      </c>
    </row>
    <row r="151" spans="1:2" x14ac:dyDescent="0.3">
      <c r="A151" s="1">
        <v>150</v>
      </c>
      <c r="B151" t="s">
        <v>166</v>
      </c>
    </row>
    <row r="152" spans="1:2" x14ac:dyDescent="0.3">
      <c r="A152" s="1">
        <v>151</v>
      </c>
      <c r="B152" t="s">
        <v>167</v>
      </c>
    </row>
    <row r="153" spans="1:2" x14ac:dyDescent="0.3">
      <c r="A153" s="1">
        <v>152</v>
      </c>
      <c r="B153" t="s">
        <v>168</v>
      </c>
    </row>
    <row r="154" spans="1:2" x14ac:dyDescent="0.3">
      <c r="A154" s="1">
        <v>153</v>
      </c>
      <c r="B154" t="s">
        <v>169</v>
      </c>
    </row>
    <row r="155" spans="1:2" x14ac:dyDescent="0.3">
      <c r="A155" s="1">
        <v>154</v>
      </c>
      <c r="B155" t="s">
        <v>170</v>
      </c>
    </row>
    <row r="156" spans="1:2" x14ac:dyDescent="0.3">
      <c r="A156" s="1">
        <v>155</v>
      </c>
      <c r="B156" t="s">
        <v>171</v>
      </c>
    </row>
    <row r="157" spans="1:2" x14ac:dyDescent="0.3">
      <c r="A157" s="1">
        <v>156</v>
      </c>
      <c r="B157" t="s">
        <v>172</v>
      </c>
    </row>
    <row r="158" spans="1:2" x14ac:dyDescent="0.3">
      <c r="A158" s="1">
        <v>157</v>
      </c>
      <c r="B158" t="s">
        <v>173</v>
      </c>
    </row>
    <row r="159" spans="1:2" x14ac:dyDescent="0.3">
      <c r="A159" s="1">
        <v>158</v>
      </c>
      <c r="B159" t="s">
        <v>174</v>
      </c>
    </row>
    <row r="160" spans="1:2" x14ac:dyDescent="0.3">
      <c r="A160" s="1">
        <v>159</v>
      </c>
      <c r="B160" t="s">
        <v>175</v>
      </c>
    </row>
    <row r="161" spans="1:2" x14ac:dyDescent="0.3">
      <c r="A161" s="1">
        <v>160</v>
      </c>
      <c r="B161" t="s">
        <v>176</v>
      </c>
    </row>
    <row r="162" spans="1:2" x14ac:dyDescent="0.3">
      <c r="A162" s="1">
        <v>161</v>
      </c>
      <c r="B162" t="s">
        <v>177</v>
      </c>
    </row>
    <row r="163" spans="1:2" x14ac:dyDescent="0.3">
      <c r="A163" s="1">
        <v>162</v>
      </c>
      <c r="B163" t="s">
        <v>178</v>
      </c>
    </row>
    <row r="164" spans="1:2" x14ac:dyDescent="0.3">
      <c r="A164" s="1">
        <v>163</v>
      </c>
      <c r="B164" t="s">
        <v>179</v>
      </c>
    </row>
    <row r="165" spans="1:2" x14ac:dyDescent="0.3">
      <c r="A165" s="1">
        <v>164</v>
      </c>
      <c r="B165" t="s">
        <v>180</v>
      </c>
    </row>
    <row r="166" spans="1:2" x14ac:dyDescent="0.3">
      <c r="A166" s="1">
        <v>165</v>
      </c>
      <c r="B166" t="s">
        <v>181</v>
      </c>
    </row>
    <row r="167" spans="1:2" x14ac:dyDescent="0.3">
      <c r="A167" s="1">
        <v>166</v>
      </c>
      <c r="B167" t="s">
        <v>182</v>
      </c>
    </row>
    <row r="168" spans="1:2" x14ac:dyDescent="0.3">
      <c r="A168" s="1">
        <v>167</v>
      </c>
      <c r="B168" t="s">
        <v>183</v>
      </c>
    </row>
    <row r="169" spans="1:2" x14ac:dyDescent="0.3">
      <c r="A169" s="1">
        <v>168</v>
      </c>
      <c r="B169" t="s">
        <v>184</v>
      </c>
    </row>
    <row r="170" spans="1:2" x14ac:dyDescent="0.3">
      <c r="A170" s="1">
        <v>169</v>
      </c>
      <c r="B170" t="s">
        <v>185</v>
      </c>
    </row>
    <row r="171" spans="1:2" x14ac:dyDescent="0.3">
      <c r="A171" s="1">
        <v>170</v>
      </c>
      <c r="B171" t="s">
        <v>186</v>
      </c>
    </row>
    <row r="172" spans="1:2" x14ac:dyDescent="0.3">
      <c r="A172" s="1">
        <v>171</v>
      </c>
      <c r="B172" t="s">
        <v>187</v>
      </c>
    </row>
    <row r="173" spans="1:2" x14ac:dyDescent="0.3">
      <c r="A173" s="1">
        <v>172</v>
      </c>
      <c r="B173" t="s">
        <v>188</v>
      </c>
    </row>
    <row r="174" spans="1:2" x14ac:dyDescent="0.3">
      <c r="A174" s="1">
        <v>173</v>
      </c>
      <c r="B174" t="s">
        <v>189</v>
      </c>
    </row>
    <row r="175" spans="1:2" x14ac:dyDescent="0.3">
      <c r="A175" s="1">
        <v>174</v>
      </c>
      <c r="B175" t="s">
        <v>190</v>
      </c>
    </row>
    <row r="176" spans="1:2" x14ac:dyDescent="0.3">
      <c r="A176" s="1">
        <v>175</v>
      </c>
      <c r="B176" t="s">
        <v>191</v>
      </c>
    </row>
    <row r="177" spans="1:2" x14ac:dyDescent="0.3">
      <c r="A177" s="1">
        <v>176</v>
      </c>
      <c r="B177" t="s">
        <v>192</v>
      </c>
    </row>
    <row r="178" spans="1:2" x14ac:dyDescent="0.3">
      <c r="A178" s="1">
        <v>177</v>
      </c>
      <c r="B178" t="s">
        <v>193</v>
      </c>
    </row>
    <row r="179" spans="1:2" x14ac:dyDescent="0.3">
      <c r="A179" s="1">
        <v>178</v>
      </c>
      <c r="B179" t="s">
        <v>194</v>
      </c>
    </row>
    <row r="180" spans="1:2" x14ac:dyDescent="0.3">
      <c r="A180" s="1">
        <v>179</v>
      </c>
      <c r="B180" t="s">
        <v>195</v>
      </c>
    </row>
    <row r="181" spans="1:2" x14ac:dyDescent="0.3">
      <c r="A181" s="1">
        <v>180</v>
      </c>
      <c r="B181" t="s">
        <v>196</v>
      </c>
    </row>
    <row r="182" spans="1:2" x14ac:dyDescent="0.3">
      <c r="A182" s="1">
        <v>181</v>
      </c>
      <c r="B182" t="s">
        <v>197</v>
      </c>
    </row>
    <row r="183" spans="1:2" x14ac:dyDescent="0.3">
      <c r="A183" s="1">
        <v>182</v>
      </c>
      <c r="B183" t="s">
        <v>198</v>
      </c>
    </row>
    <row r="184" spans="1:2" x14ac:dyDescent="0.3">
      <c r="A184" s="1">
        <v>183</v>
      </c>
      <c r="B184" t="s">
        <v>199</v>
      </c>
    </row>
    <row r="185" spans="1:2" x14ac:dyDescent="0.3">
      <c r="A185" s="1">
        <v>184</v>
      </c>
      <c r="B185" t="s">
        <v>200</v>
      </c>
    </row>
    <row r="186" spans="1:2" x14ac:dyDescent="0.3">
      <c r="A186" s="1">
        <v>185</v>
      </c>
      <c r="B186" t="s">
        <v>201</v>
      </c>
    </row>
    <row r="187" spans="1:2" x14ac:dyDescent="0.3">
      <c r="A187" s="1">
        <v>186</v>
      </c>
      <c r="B187" t="s">
        <v>202</v>
      </c>
    </row>
    <row r="188" spans="1:2" x14ac:dyDescent="0.3">
      <c r="A188" s="1">
        <v>187</v>
      </c>
      <c r="B188" t="s">
        <v>203</v>
      </c>
    </row>
    <row r="189" spans="1:2" x14ac:dyDescent="0.3">
      <c r="A189" s="1">
        <v>188</v>
      </c>
      <c r="B189" t="s">
        <v>204</v>
      </c>
    </row>
    <row r="190" spans="1:2" x14ac:dyDescent="0.3">
      <c r="A190" s="1">
        <v>189</v>
      </c>
      <c r="B190" t="s">
        <v>205</v>
      </c>
    </row>
    <row r="191" spans="1:2" x14ac:dyDescent="0.3">
      <c r="A191" s="1">
        <v>190</v>
      </c>
      <c r="B191" t="s">
        <v>206</v>
      </c>
    </row>
    <row r="192" spans="1:2" x14ac:dyDescent="0.3">
      <c r="A192" s="1">
        <v>191</v>
      </c>
      <c r="B192" t="s">
        <v>207</v>
      </c>
    </row>
    <row r="193" spans="1:2" x14ac:dyDescent="0.3">
      <c r="A193" s="1">
        <v>192</v>
      </c>
      <c r="B193" t="s">
        <v>208</v>
      </c>
    </row>
    <row r="194" spans="1:2" x14ac:dyDescent="0.3">
      <c r="A194" s="1">
        <v>193</v>
      </c>
      <c r="B194" t="s">
        <v>209</v>
      </c>
    </row>
    <row r="195" spans="1:2" x14ac:dyDescent="0.3">
      <c r="A195" s="1">
        <v>194</v>
      </c>
      <c r="B195" t="s">
        <v>210</v>
      </c>
    </row>
    <row r="196" spans="1:2" x14ac:dyDescent="0.3">
      <c r="A196" s="1">
        <v>195</v>
      </c>
      <c r="B196" t="s">
        <v>211</v>
      </c>
    </row>
    <row r="197" spans="1:2" x14ac:dyDescent="0.3">
      <c r="A197" s="1">
        <v>196</v>
      </c>
      <c r="B197" t="s">
        <v>212</v>
      </c>
    </row>
    <row r="198" spans="1:2" x14ac:dyDescent="0.3">
      <c r="A198" s="1">
        <v>197</v>
      </c>
      <c r="B198" t="s">
        <v>213</v>
      </c>
    </row>
    <row r="199" spans="1:2" x14ac:dyDescent="0.3">
      <c r="A199" s="1">
        <v>198</v>
      </c>
      <c r="B199" t="s">
        <v>214</v>
      </c>
    </row>
    <row r="200" spans="1:2" x14ac:dyDescent="0.3">
      <c r="A200" s="1">
        <v>199</v>
      </c>
      <c r="B200" t="s">
        <v>215</v>
      </c>
    </row>
    <row r="201" spans="1:2" x14ac:dyDescent="0.3">
      <c r="A201" s="1">
        <v>200</v>
      </c>
      <c r="B201" t="s">
        <v>216</v>
      </c>
    </row>
    <row r="202" spans="1:2" x14ac:dyDescent="0.3">
      <c r="A202" s="1">
        <v>201</v>
      </c>
      <c r="B202" t="s">
        <v>217</v>
      </c>
    </row>
    <row r="203" spans="1:2" x14ac:dyDescent="0.3">
      <c r="A203" s="1">
        <v>202</v>
      </c>
      <c r="B203" t="s">
        <v>218</v>
      </c>
    </row>
    <row r="204" spans="1:2" x14ac:dyDescent="0.3">
      <c r="A204" s="1">
        <v>203</v>
      </c>
      <c r="B204" t="s">
        <v>219</v>
      </c>
    </row>
    <row r="205" spans="1:2" x14ac:dyDescent="0.3">
      <c r="A205" s="1">
        <v>204</v>
      </c>
      <c r="B205" t="s">
        <v>220</v>
      </c>
    </row>
    <row r="206" spans="1:2" x14ac:dyDescent="0.3">
      <c r="A206" s="1">
        <v>205</v>
      </c>
      <c r="B206" t="s">
        <v>221</v>
      </c>
    </row>
    <row r="207" spans="1:2" x14ac:dyDescent="0.3">
      <c r="A207" s="1">
        <v>206</v>
      </c>
      <c r="B207" t="s">
        <v>222</v>
      </c>
    </row>
    <row r="208" spans="1:2" x14ac:dyDescent="0.3">
      <c r="A208" s="1">
        <v>207</v>
      </c>
      <c r="B208" t="s">
        <v>223</v>
      </c>
    </row>
    <row r="209" spans="1:2" x14ac:dyDescent="0.3">
      <c r="A209" s="1">
        <v>208</v>
      </c>
      <c r="B209" t="s">
        <v>224</v>
      </c>
    </row>
    <row r="210" spans="1:2" x14ac:dyDescent="0.3">
      <c r="A210" s="1">
        <v>209</v>
      </c>
      <c r="B210" t="s">
        <v>225</v>
      </c>
    </row>
    <row r="211" spans="1:2" x14ac:dyDescent="0.3">
      <c r="A211" s="1">
        <v>210</v>
      </c>
      <c r="B211" t="s">
        <v>226</v>
      </c>
    </row>
    <row r="212" spans="1:2" x14ac:dyDescent="0.3">
      <c r="A212" s="1">
        <v>211</v>
      </c>
      <c r="B212" t="s">
        <v>227</v>
      </c>
    </row>
    <row r="213" spans="1:2" x14ac:dyDescent="0.3">
      <c r="A213" s="1">
        <v>212</v>
      </c>
      <c r="B213" t="s">
        <v>228</v>
      </c>
    </row>
    <row r="214" spans="1:2" x14ac:dyDescent="0.3">
      <c r="A214" s="1">
        <v>213</v>
      </c>
      <c r="B214" t="s">
        <v>229</v>
      </c>
    </row>
    <row r="215" spans="1:2" x14ac:dyDescent="0.3">
      <c r="A215" s="1">
        <v>214</v>
      </c>
      <c r="B215" t="s">
        <v>230</v>
      </c>
    </row>
    <row r="216" spans="1:2" x14ac:dyDescent="0.3">
      <c r="A216" s="1">
        <v>215</v>
      </c>
      <c r="B216" t="s">
        <v>231</v>
      </c>
    </row>
    <row r="217" spans="1:2" x14ac:dyDescent="0.3">
      <c r="A217" s="1">
        <v>216</v>
      </c>
      <c r="B217" t="s">
        <v>232</v>
      </c>
    </row>
    <row r="218" spans="1:2" x14ac:dyDescent="0.3">
      <c r="A218" s="1">
        <v>217</v>
      </c>
      <c r="B218" t="s">
        <v>233</v>
      </c>
    </row>
    <row r="219" spans="1:2" x14ac:dyDescent="0.3">
      <c r="A219" s="1">
        <v>218</v>
      </c>
      <c r="B219" t="s">
        <v>234</v>
      </c>
    </row>
    <row r="220" spans="1:2" x14ac:dyDescent="0.3">
      <c r="A220" s="1">
        <v>219</v>
      </c>
      <c r="B220" t="s">
        <v>235</v>
      </c>
    </row>
    <row r="221" spans="1:2" x14ac:dyDescent="0.3">
      <c r="A221" s="1">
        <v>220</v>
      </c>
      <c r="B221" t="s">
        <v>236</v>
      </c>
    </row>
    <row r="222" spans="1:2" x14ac:dyDescent="0.3">
      <c r="A222" s="1">
        <v>221</v>
      </c>
      <c r="B222" t="s">
        <v>237</v>
      </c>
    </row>
    <row r="223" spans="1:2" x14ac:dyDescent="0.3">
      <c r="A223" s="1">
        <v>222</v>
      </c>
      <c r="B223" t="s">
        <v>238</v>
      </c>
    </row>
    <row r="224" spans="1:2" x14ac:dyDescent="0.3">
      <c r="A224" s="1">
        <v>223</v>
      </c>
      <c r="B224" t="s">
        <v>239</v>
      </c>
    </row>
    <row r="225" spans="1:2" x14ac:dyDescent="0.3">
      <c r="A225" s="1">
        <v>224</v>
      </c>
      <c r="B225" t="s">
        <v>240</v>
      </c>
    </row>
    <row r="226" spans="1:2" x14ac:dyDescent="0.3">
      <c r="A226" s="1">
        <v>225</v>
      </c>
      <c r="B226" t="s">
        <v>241</v>
      </c>
    </row>
    <row r="227" spans="1:2" x14ac:dyDescent="0.3">
      <c r="A227" s="1">
        <v>226</v>
      </c>
      <c r="B227" t="s">
        <v>242</v>
      </c>
    </row>
    <row r="228" spans="1:2" x14ac:dyDescent="0.3">
      <c r="A228" s="1">
        <v>227</v>
      </c>
      <c r="B228" t="s">
        <v>243</v>
      </c>
    </row>
    <row r="229" spans="1:2" x14ac:dyDescent="0.3">
      <c r="A229" s="1">
        <v>228</v>
      </c>
      <c r="B229" t="s">
        <v>244</v>
      </c>
    </row>
    <row r="230" spans="1:2" x14ac:dyDescent="0.3">
      <c r="A230" s="1">
        <v>229</v>
      </c>
      <c r="B230" t="s">
        <v>245</v>
      </c>
    </row>
    <row r="231" spans="1:2" x14ac:dyDescent="0.3">
      <c r="A231" s="1">
        <v>230</v>
      </c>
      <c r="B231" t="s">
        <v>246</v>
      </c>
    </row>
    <row r="232" spans="1:2" x14ac:dyDescent="0.3">
      <c r="A232" s="1">
        <v>231</v>
      </c>
      <c r="B232" t="s">
        <v>247</v>
      </c>
    </row>
    <row r="233" spans="1:2" x14ac:dyDescent="0.3">
      <c r="A233" s="1">
        <v>232</v>
      </c>
      <c r="B233" t="s">
        <v>248</v>
      </c>
    </row>
    <row r="234" spans="1:2" x14ac:dyDescent="0.3">
      <c r="A234" s="1">
        <v>233</v>
      </c>
      <c r="B234" t="s">
        <v>249</v>
      </c>
    </row>
    <row r="235" spans="1:2" x14ac:dyDescent="0.3">
      <c r="A235" s="1">
        <v>234</v>
      </c>
      <c r="B235" t="s">
        <v>250</v>
      </c>
    </row>
    <row r="236" spans="1:2" x14ac:dyDescent="0.3">
      <c r="A236" s="1">
        <v>235</v>
      </c>
      <c r="B236" t="s">
        <v>251</v>
      </c>
    </row>
    <row r="237" spans="1:2" x14ac:dyDescent="0.3">
      <c r="A237" s="1">
        <v>236</v>
      </c>
      <c r="B237" t="s">
        <v>252</v>
      </c>
    </row>
    <row r="238" spans="1:2" x14ac:dyDescent="0.3">
      <c r="A238" s="1">
        <v>237</v>
      </c>
      <c r="B238" t="s">
        <v>253</v>
      </c>
    </row>
    <row r="239" spans="1:2" x14ac:dyDescent="0.3">
      <c r="A239" s="1">
        <v>238</v>
      </c>
      <c r="B239" t="s">
        <v>254</v>
      </c>
    </row>
    <row r="240" spans="1:2" x14ac:dyDescent="0.3">
      <c r="A240" s="1">
        <v>239</v>
      </c>
      <c r="B240" t="s">
        <v>255</v>
      </c>
    </row>
    <row r="241" spans="1:2" x14ac:dyDescent="0.3">
      <c r="A241" s="1">
        <v>240</v>
      </c>
      <c r="B241" t="s">
        <v>256</v>
      </c>
    </row>
    <row r="242" spans="1:2" x14ac:dyDescent="0.3">
      <c r="A242" s="1">
        <v>241</v>
      </c>
      <c r="B242" t="s">
        <v>257</v>
      </c>
    </row>
    <row r="243" spans="1:2" x14ac:dyDescent="0.3">
      <c r="A243" s="1">
        <v>242</v>
      </c>
      <c r="B243" t="s">
        <v>258</v>
      </c>
    </row>
    <row r="244" spans="1:2" x14ac:dyDescent="0.3">
      <c r="A244" s="1">
        <v>243</v>
      </c>
      <c r="B244" t="s">
        <v>259</v>
      </c>
    </row>
    <row r="245" spans="1:2" x14ac:dyDescent="0.3">
      <c r="A245" s="1">
        <v>244</v>
      </c>
      <c r="B245" t="s">
        <v>260</v>
      </c>
    </row>
    <row r="246" spans="1:2" x14ac:dyDescent="0.3">
      <c r="A246" s="1">
        <v>245</v>
      </c>
      <c r="B246" t="s">
        <v>261</v>
      </c>
    </row>
    <row r="247" spans="1:2" x14ac:dyDescent="0.3">
      <c r="A247" s="1">
        <v>246</v>
      </c>
      <c r="B247" t="s">
        <v>262</v>
      </c>
    </row>
    <row r="248" spans="1:2" x14ac:dyDescent="0.3">
      <c r="A248" s="1">
        <v>247</v>
      </c>
      <c r="B248" t="s">
        <v>263</v>
      </c>
    </row>
    <row r="249" spans="1:2" x14ac:dyDescent="0.3">
      <c r="A249" s="1">
        <v>248</v>
      </c>
      <c r="B249" t="s">
        <v>264</v>
      </c>
    </row>
    <row r="250" spans="1:2" x14ac:dyDescent="0.3">
      <c r="A250" s="1">
        <v>249</v>
      </c>
      <c r="B250" t="s">
        <v>265</v>
      </c>
    </row>
    <row r="251" spans="1:2" x14ac:dyDescent="0.3">
      <c r="A251" s="1">
        <v>250</v>
      </c>
      <c r="B251" t="s">
        <v>266</v>
      </c>
    </row>
    <row r="252" spans="1:2" x14ac:dyDescent="0.3">
      <c r="A252" s="1">
        <v>251</v>
      </c>
      <c r="B252" t="s">
        <v>267</v>
      </c>
    </row>
    <row r="253" spans="1:2" x14ac:dyDescent="0.3">
      <c r="A253" s="1">
        <v>252</v>
      </c>
      <c r="B253" t="s">
        <v>268</v>
      </c>
    </row>
    <row r="254" spans="1:2" x14ac:dyDescent="0.3">
      <c r="A254" s="1">
        <v>253</v>
      </c>
      <c r="B254" t="s">
        <v>269</v>
      </c>
    </row>
    <row r="255" spans="1:2" x14ac:dyDescent="0.3">
      <c r="A255" s="1">
        <v>254</v>
      </c>
      <c r="B255" t="s">
        <v>270</v>
      </c>
    </row>
    <row r="256" spans="1:2" x14ac:dyDescent="0.3">
      <c r="A256" s="1">
        <v>255</v>
      </c>
      <c r="B256" t="s">
        <v>271</v>
      </c>
    </row>
    <row r="257" spans="1:2" x14ac:dyDescent="0.3">
      <c r="A257" s="1">
        <v>256</v>
      </c>
      <c r="B257" t="s">
        <v>272</v>
      </c>
    </row>
    <row r="258" spans="1:2" x14ac:dyDescent="0.3">
      <c r="A258" s="1">
        <v>257</v>
      </c>
      <c r="B258" t="s">
        <v>273</v>
      </c>
    </row>
    <row r="259" spans="1:2" x14ac:dyDescent="0.3">
      <c r="A259" s="1">
        <v>258</v>
      </c>
      <c r="B259" t="s">
        <v>274</v>
      </c>
    </row>
    <row r="260" spans="1:2" x14ac:dyDescent="0.3">
      <c r="A260" s="1">
        <v>259</v>
      </c>
      <c r="B260" t="s">
        <v>275</v>
      </c>
    </row>
    <row r="261" spans="1:2" x14ac:dyDescent="0.3">
      <c r="A261" s="1">
        <v>260</v>
      </c>
      <c r="B261" t="s">
        <v>276</v>
      </c>
    </row>
    <row r="262" spans="1:2" x14ac:dyDescent="0.3">
      <c r="A262" s="1">
        <v>261</v>
      </c>
      <c r="B262" t="s">
        <v>277</v>
      </c>
    </row>
    <row r="263" spans="1:2" x14ac:dyDescent="0.3">
      <c r="A263" s="1">
        <v>262</v>
      </c>
      <c r="B263" t="s">
        <v>278</v>
      </c>
    </row>
    <row r="264" spans="1:2" x14ac:dyDescent="0.3">
      <c r="A264" s="1">
        <v>263</v>
      </c>
      <c r="B264" t="s">
        <v>279</v>
      </c>
    </row>
    <row r="265" spans="1:2" x14ac:dyDescent="0.3">
      <c r="A265" s="1">
        <v>264</v>
      </c>
      <c r="B265" t="s">
        <v>280</v>
      </c>
    </row>
    <row r="266" spans="1:2" x14ac:dyDescent="0.3">
      <c r="A266" s="1">
        <v>265</v>
      </c>
      <c r="B266" t="s">
        <v>281</v>
      </c>
    </row>
    <row r="267" spans="1:2" x14ac:dyDescent="0.3">
      <c r="A267" s="1">
        <v>266</v>
      </c>
      <c r="B267" t="s">
        <v>282</v>
      </c>
    </row>
    <row r="268" spans="1:2" x14ac:dyDescent="0.3">
      <c r="A268" s="1">
        <v>267</v>
      </c>
      <c r="B268" t="s">
        <v>283</v>
      </c>
    </row>
    <row r="269" spans="1:2" x14ac:dyDescent="0.3">
      <c r="A269" s="1">
        <v>268</v>
      </c>
      <c r="B269" t="s">
        <v>284</v>
      </c>
    </row>
    <row r="270" spans="1:2" x14ac:dyDescent="0.3">
      <c r="A270" s="1">
        <v>269</v>
      </c>
      <c r="B270" t="s">
        <v>285</v>
      </c>
    </row>
    <row r="271" spans="1:2" x14ac:dyDescent="0.3">
      <c r="A271" s="1">
        <v>270</v>
      </c>
      <c r="B271" t="s">
        <v>286</v>
      </c>
    </row>
    <row r="272" spans="1:2" x14ac:dyDescent="0.3">
      <c r="A272" s="1">
        <v>271</v>
      </c>
      <c r="B272" t="s">
        <v>287</v>
      </c>
    </row>
    <row r="273" spans="1:2" x14ac:dyDescent="0.3">
      <c r="A273" s="1">
        <v>272</v>
      </c>
      <c r="B273" t="s">
        <v>288</v>
      </c>
    </row>
    <row r="274" spans="1:2" x14ac:dyDescent="0.3">
      <c r="A274" s="1">
        <v>273</v>
      </c>
      <c r="B274" t="s">
        <v>289</v>
      </c>
    </row>
    <row r="275" spans="1:2" x14ac:dyDescent="0.3">
      <c r="A275" s="1">
        <v>274</v>
      </c>
      <c r="B275" t="s">
        <v>290</v>
      </c>
    </row>
    <row r="276" spans="1:2" x14ac:dyDescent="0.3">
      <c r="A276" s="1">
        <v>275</v>
      </c>
      <c r="B276" t="s">
        <v>291</v>
      </c>
    </row>
    <row r="277" spans="1:2" x14ac:dyDescent="0.3">
      <c r="A277" s="1">
        <v>276</v>
      </c>
      <c r="B277" t="s">
        <v>292</v>
      </c>
    </row>
    <row r="278" spans="1:2" x14ac:dyDescent="0.3">
      <c r="A278" s="1">
        <v>277</v>
      </c>
      <c r="B278" t="s">
        <v>293</v>
      </c>
    </row>
    <row r="279" spans="1:2" x14ac:dyDescent="0.3">
      <c r="A279" s="1">
        <v>278</v>
      </c>
      <c r="B279" t="s">
        <v>294</v>
      </c>
    </row>
    <row r="280" spans="1:2" x14ac:dyDescent="0.3">
      <c r="A280" s="1">
        <v>279</v>
      </c>
      <c r="B280" t="s">
        <v>295</v>
      </c>
    </row>
    <row r="281" spans="1:2" x14ac:dyDescent="0.3">
      <c r="A281" s="1">
        <v>280</v>
      </c>
      <c r="B281" t="s">
        <v>296</v>
      </c>
    </row>
    <row r="282" spans="1:2" x14ac:dyDescent="0.3">
      <c r="A282" s="1">
        <v>281</v>
      </c>
      <c r="B282" t="s">
        <v>297</v>
      </c>
    </row>
    <row r="283" spans="1:2" x14ac:dyDescent="0.3">
      <c r="A283" s="1">
        <v>282</v>
      </c>
      <c r="B283" t="s">
        <v>298</v>
      </c>
    </row>
    <row r="284" spans="1:2" x14ac:dyDescent="0.3">
      <c r="A284" s="1">
        <v>283</v>
      </c>
      <c r="B284" t="s">
        <v>299</v>
      </c>
    </row>
    <row r="285" spans="1:2" x14ac:dyDescent="0.3">
      <c r="A285" s="1">
        <v>284</v>
      </c>
      <c r="B285" t="s">
        <v>300</v>
      </c>
    </row>
    <row r="286" spans="1:2" x14ac:dyDescent="0.3">
      <c r="A286" s="1">
        <v>285</v>
      </c>
      <c r="B286" t="s">
        <v>301</v>
      </c>
    </row>
    <row r="287" spans="1:2" x14ac:dyDescent="0.3">
      <c r="A287" s="1">
        <v>286</v>
      </c>
      <c r="B287" t="s">
        <v>302</v>
      </c>
    </row>
    <row r="288" spans="1:2" x14ac:dyDescent="0.3">
      <c r="A288" s="1">
        <v>287</v>
      </c>
      <c r="B288" t="s">
        <v>303</v>
      </c>
    </row>
    <row r="289" spans="1:2" x14ac:dyDescent="0.3">
      <c r="A289" s="1">
        <v>288</v>
      </c>
      <c r="B289" t="s">
        <v>304</v>
      </c>
    </row>
    <row r="290" spans="1:2" x14ac:dyDescent="0.3">
      <c r="A290" s="1">
        <v>289</v>
      </c>
      <c r="B290" t="s">
        <v>305</v>
      </c>
    </row>
    <row r="291" spans="1:2" x14ac:dyDescent="0.3">
      <c r="A291" s="1">
        <v>290</v>
      </c>
      <c r="B291" t="s">
        <v>306</v>
      </c>
    </row>
    <row r="292" spans="1:2" x14ac:dyDescent="0.3">
      <c r="A292" s="1">
        <v>291</v>
      </c>
      <c r="B292" t="s">
        <v>307</v>
      </c>
    </row>
    <row r="293" spans="1:2" x14ac:dyDescent="0.3">
      <c r="A293" s="1">
        <v>292</v>
      </c>
      <c r="B293" t="s">
        <v>308</v>
      </c>
    </row>
    <row r="294" spans="1:2" x14ac:dyDescent="0.3">
      <c r="A294" s="1">
        <v>293</v>
      </c>
      <c r="B294" t="s">
        <v>309</v>
      </c>
    </row>
    <row r="295" spans="1:2" x14ac:dyDescent="0.3">
      <c r="A295" s="1">
        <v>294</v>
      </c>
      <c r="B295" t="s">
        <v>310</v>
      </c>
    </row>
    <row r="296" spans="1:2" x14ac:dyDescent="0.3">
      <c r="A296" s="1">
        <v>295</v>
      </c>
      <c r="B296" t="s">
        <v>311</v>
      </c>
    </row>
    <row r="297" spans="1:2" x14ac:dyDescent="0.3">
      <c r="A297" s="1">
        <v>296</v>
      </c>
      <c r="B297" t="s">
        <v>312</v>
      </c>
    </row>
    <row r="298" spans="1:2" x14ac:dyDescent="0.3">
      <c r="A298" s="1">
        <v>297</v>
      </c>
      <c r="B298" t="s">
        <v>313</v>
      </c>
    </row>
    <row r="299" spans="1:2" x14ac:dyDescent="0.3">
      <c r="A299" s="1">
        <v>298</v>
      </c>
      <c r="B299" t="s">
        <v>314</v>
      </c>
    </row>
    <row r="300" spans="1:2" x14ac:dyDescent="0.3">
      <c r="A300" s="1">
        <v>299</v>
      </c>
      <c r="B300" t="s">
        <v>315</v>
      </c>
    </row>
    <row r="301" spans="1:2" x14ac:dyDescent="0.3">
      <c r="A301" s="1">
        <v>300</v>
      </c>
      <c r="B301" t="s">
        <v>316</v>
      </c>
    </row>
    <row r="302" spans="1:2" x14ac:dyDescent="0.3">
      <c r="A302" s="1">
        <v>301</v>
      </c>
      <c r="B302" t="s">
        <v>317</v>
      </c>
    </row>
    <row r="303" spans="1:2" x14ac:dyDescent="0.3">
      <c r="A303" s="1">
        <v>302</v>
      </c>
      <c r="B303" t="s">
        <v>318</v>
      </c>
    </row>
    <row r="304" spans="1:2" x14ac:dyDescent="0.3">
      <c r="A304" s="1">
        <v>303</v>
      </c>
      <c r="B304" t="s">
        <v>319</v>
      </c>
    </row>
    <row r="305" spans="1:2" x14ac:dyDescent="0.3">
      <c r="A305" s="1">
        <v>304</v>
      </c>
      <c r="B305" t="s">
        <v>320</v>
      </c>
    </row>
    <row r="306" spans="1:2" x14ac:dyDescent="0.3">
      <c r="A306" s="1">
        <v>305</v>
      </c>
      <c r="B306" t="s">
        <v>321</v>
      </c>
    </row>
    <row r="307" spans="1:2" x14ac:dyDescent="0.3">
      <c r="A307" s="1">
        <v>306</v>
      </c>
      <c r="B307" t="s">
        <v>322</v>
      </c>
    </row>
    <row r="308" spans="1:2" x14ac:dyDescent="0.3">
      <c r="A308" s="1">
        <v>307</v>
      </c>
      <c r="B308" t="s">
        <v>323</v>
      </c>
    </row>
    <row r="309" spans="1:2" x14ac:dyDescent="0.3">
      <c r="A309" s="1">
        <v>308</v>
      </c>
      <c r="B309" t="s">
        <v>324</v>
      </c>
    </row>
    <row r="310" spans="1:2" x14ac:dyDescent="0.3">
      <c r="A310" s="1">
        <v>309</v>
      </c>
      <c r="B310" t="s">
        <v>325</v>
      </c>
    </row>
    <row r="311" spans="1:2" x14ac:dyDescent="0.3">
      <c r="A311" s="1">
        <v>310</v>
      </c>
      <c r="B311" t="s">
        <v>326</v>
      </c>
    </row>
    <row r="312" spans="1:2" x14ac:dyDescent="0.3">
      <c r="A312" s="1">
        <v>311</v>
      </c>
      <c r="B312" t="s">
        <v>327</v>
      </c>
    </row>
    <row r="313" spans="1:2" x14ac:dyDescent="0.3">
      <c r="A313" s="1">
        <v>312</v>
      </c>
      <c r="B313" t="s">
        <v>328</v>
      </c>
    </row>
    <row r="314" spans="1:2" x14ac:dyDescent="0.3">
      <c r="A314" s="1">
        <v>313</v>
      </c>
      <c r="B314" t="s">
        <v>329</v>
      </c>
    </row>
    <row r="315" spans="1:2" x14ac:dyDescent="0.3">
      <c r="A315" s="1">
        <v>314</v>
      </c>
      <c r="B315" t="s">
        <v>330</v>
      </c>
    </row>
    <row r="316" spans="1:2" x14ac:dyDescent="0.3">
      <c r="A316" s="1">
        <v>315</v>
      </c>
      <c r="B316" t="s">
        <v>331</v>
      </c>
    </row>
    <row r="317" spans="1:2" x14ac:dyDescent="0.3">
      <c r="A317" s="1">
        <v>316</v>
      </c>
      <c r="B317" t="s">
        <v>332</v>
      </c>
    </row>
    <row r="318" spans="1:2" x14ac:dyDescent="0.3">
      <c r="A318" s="1">
        <v>317</v>
      </c>
      <c r="B318" t="s">
        <v>333</v>
      </c>
    </row>
    <row r="319" spans="1:2" x14ac:dyDescent="0.3">
      <c r="A319" s="1">
        <v>318</v>
      </c>
      <c r="B319" t="s">
        <v>334</v>
      </c>
    </row>
    <row r="320" spans="1:2" x14ac:dyDescent="0.3">
      <c r="A320" s="1">
        <v>319</v>
      </c>
      <c r="B320" t="s">
        <v>335</v>
      </c>
    </row>
    <row r="321" spans="1:2" x14ac:dyDescent="0.3">
      <c r="A321" s="1">
        <v>320</v>
      </c>
      <c r="B321" t="s">
        <v>336</v>
      </c>
    </row>
    <row r="322" spans="1:2" x14ac:dyDescent="0.3">
      <c r="A322" s="1">
        <v>321</v>
      </c>
      <c r="B322" t="s">
        <v>337</v>
      </c>
    </row>
    <row r="323" spans="1:2" x14ac:dyDescent="0.3">
      <c r="A323" s="1">
        <v>322</v>
      </c>
      <c r="B323" t="s">
        <v>338</v>
      </c>
    </row>
    <row r="324" spans="1:2" x14ac:dyDescent="0.3">
      <c r="A324" s="1">
        <v>323</v>
      </c>
      <c r="B324" t="s">
        <v>339</v>
      </c>
    </row>
    <row r="325" spans="1:2" x14ac:dyDescent="0.3">
      <c r="A325" s="1">
        <v>324</v>
      </c>
      <c r="B325" t="s">
        <v>340</v>
      </c>
    </row>
    <row r="326" spans="1:2" x14ac:dyDescent="0.3">
      <c r="A326" s="1">
        <v>325</v>
      </c>
      <c r="B326" t="s">
        <v>341</v>
      </c>
    </row>
    <row r="327" spans="1:2" x14ac:dyDescent="0.3">
      <c r="A327" s="1">
        <v>326</v>
      </c>
      <c r="B327" t="s">
        <v>342</v>
      </c>
    </row>
    <row r="328" spans="1:2" x14ac:dyDescent="0.3">
      <c r="A328" s="1">
        <v>327</v>
      </c>
      <c r="B328" t="s">
        <v>343</v>
      </c>
    </row>
    <row r="329" spans="1:2" x14ac:dyDescent="0.3">
      <c r="A329" s="1">
        <v>328</v>
      </c>
      <c r="B329" t="s">
        <v>344</v>
      </c>
    </row>
    <row r="330" spans="1:2" x14ac:dyDescent="0.3">
      <c r="A330" s="1">
        <v>329</v>
      </c>
      <c r="B330" t="s">
        <v>345</v>
      </c>
    </row>
    <row r="331" spans="1:2" x14ac:dyDescent="0.3">
      <c r="A331" s="1">
        <v>330</v>
      </c>
      <c r="B331" t="s">
        <v>346</v>
      </c>
    </row>
    <row r="332" spans="1:2" x14ac:dyDescent="0.3">
      <c r="A332" s="1">
        <v>331</v>
      </c>
      <c r="B332" t="s">
        <v>347</v>
      </c>
    </row>
    <row r="333" spans="1:2" x14ac:dyDescent="0.3">
      <c r="A333" s="1">
        <v>332</v>
      </c>
      <c r="B333" t="s">
        <v>348</v>
      </c>
    </row>
    <row r="334" spans="1:2" x14ac:dyDescent="0.3">
      <c r="A334" s="1">
        <v>333</v>
      </c>
      <c r="B334" t="s">
        <v>349</v>
      </c>
    </row>
    <row r="335" spans="1:2" x14ac:dyDescent="0.3">
      <c r="A335" s="1">
        <v>334</v>
      </c>
      <c r="B335" t="s">
        <v>350</v>
      </c>
    </row>
    <row r="336" spans="1:2" x14ac:dyDescent="0.3">
      <c r="A336" s="1">
        <v>335</v>
      </c>
      <c r="B336" t="s">
        <v>351</v>
      </c>
    </row>
    <row r="337" spans="1:2" x14ac:dyDescent="0.3">
      <c r="A337" s="1">
        <v>336</v>
      </c>
      <c r="B337" t="s">
        <v>352</v>
      </c>
    </row>
    <row r="338" spans="1:2" x14ac:dyDescent="0.3">
      <c r="A338" s="1">
        <v>337</v>
      </c>
      <c r="B338" t="s">
        <v>353</v>
      </c>
    </row>
    <row r="339" spans="1:2" x14ac:dyDescent="0.3">
      <c r="A339" s="1">
        <v>338</v>
      </c>
      <c r="B339" t="s">
        <v>354</v>
      </c>
    </row>
    <row r="340" spans="1:2" x14ac:dyDescent="0.3">
      <c r="A340" s="1">
        <v>339</v>
      </c>
      <c r="B340" t="s">
        <v>355</v>
      </c>
    </row>
    <row r="341" spans="1:2" x14ac:dyDescent="0.3">
      <c r="A341" s="1">
        <v>340</v>
      </c>
      <c r="B341" t="s">
        <v>356</v>
      </c>
    </row>
    <row r="342" spans="1:2" x14ac:dyDescent="0.3">
      <c r="A342" s="1">
        <v>341</v>
      </c>
      <c r="B342" t="s">
        <v>357</v>
      </c>
    </row>
    <row r="343" spans="1:2" x14ac:dyDescent="0.3">
      <c r="A343" s="1">
        <v>342</v>
      </c>
      <c r="B343" t="s">
        <v>358</v>
      </c>
    </row>
    <row r="344" spans="1:2" x14ac:dyDescent="0.3">
      <c r="A344" s="1">
        <v>343</v>
      </c>
      <c r="B344" t="s">
        <v>359</v>
      </c>
    </row>
    <row r="345" spans="1:2" x14ac:dyDescent="0.3">
      <c r="A345" s="1">
        <v>344</v>
      </c>
      <c r="B345" t="s">
        <v>360</v>
      </c>
    </row>
    <row r="346" spans="1:2" x14ac:dyDescent="0.3">
      <c r="A346" s="1">
        <v>345</v>
      </c>
      <c r="B346" t="s">
        <v>361</v>
      </c>
    </row>
    <row r="347" spans="1:2" x14ac:dyDescent="0.3">
      <c r="A347" s="1">
        <v>346</v>
      </c>
      <c r="B347" t="s">
        <v>362</v>
      </c>
    </row>
    <row r="348" spans="1:2" x14ac:dyDescent="0.3">
      <c r="A348" s="1">
        <v>347</v>
      </c>
      <c r="B348" t="s">
        <v>363</v>
      </c>
    </row>
    <row r="349" spans="1:2" x14ac:dyDescent="0.3">
      <c r="A349" s="1">
        <v>348</v>
      </c>
      <c r="B349" t="s">
        <v>364</v>
      </c>
    </row>
    <row r="350" spans="1:2" x14ac:dyDescent="0.3">
      <c r="A350" s="1">
        <v>349</v>
      </c>
      <c r="B350" t="s">
        <v>365</v>
      </c>
    </row>
    <row r="351" spans="1:2" x14ac:dyDescent="0.3">
      <c r="A351" s="1">
        <v>350</v>
      </c>
      <c r="B351" t="s">
        <v>366</v>
      </c>
    </row>
    <row r="352" spans="1:2" x14ac:dyDescent="0.3">
      <c r="A352" s="1">
        <v>351</v>
      </c>
      <c r="B352" t="s">
        <v>367</v>
      </c>
    </row>
    <row r="353" spans="1:2" x14ac:dyDescent="0.3">
      <c r="A353" s="1">
        <v>352</v>
      </c>
      <c r="B353" t="s">
        <v>368</v>
      </c>
    </row>
    <row r="354" spans="1:2" x14ac:dyDescent="0.3">
      <c r="A354" s="1">
        <v>353</v>
      </c>
      <c r="B354" t="s">
        <v>369</v>
      </c>
    </row>
    <row r="355" spans="1:2" x14ac:dyDescent="0.3">
      <c r="A355" s="1">
        <v>354</v>
      </c>
      <c r="B355" t="s">
        <v>370</v>
      </c>
    </row>
    <row r="356" spans="1:2" x14ac:dyDescent="0.3">
      <c r="A356" s="1">
        <v>355</v>
      </c>
      <c r="B356" t="s">
        <v>371</v>
      </c>
    </row>
    <row r="357" spans="1:2" x14ac:dyDescent="0.3">
      <c r="A357" s="1">
        <v>356</v>
      </c>
      <c r="B357" t="s">
        <v>372</v>
      </c>
    </row>
    <row r="358" spans="1:2" x14ac:dyDescent="0.3">
      <c r="A358" s="1">
        <v>357</v>
      </c>
      <c r="B358" t="s">
        <v>373</v>
      </c>
    </row>
    <row r="359" spans="1:2" x14ac:dyDescent="0.3">
      <c r="A359" s="1">
        <v>358</v>
      </c>
      <c r="B359" t="s">
        <v>374</v>
      </c>
    </row>
    <row r="360" spans="1:2" x14ac:dyDescent="0.3">
      <c r="A360" s="1">
        <v>359</v>
      </c>
      <c r="B360" t="s">
        <v>375</v>
      </c>
    </row>
    <row r="361" spans="1:2" x14ac:dyDescent="0.3">
      <c r="A361" s="1">
        <v>360</v>
      </c>
      <c r="B361" t="s">
        <v>376</v>
      </c>
    </row>
    <row r="362" spans="1:2" x14ac:dyDescent="0.3">
      <c r="A362" s="1">
        <v>361</v>
      </c>
      <c r="B362" t="s">
        <v>377</v>
      </c>
    </row>
    <row r="363" spans="1:2" x14ac:dyDescent="0.3">
      <c r="A363" s="1">
        <v>362</v>
      </c>
      <c r="B363" t="s">
        <v>378</v>
      </c>
    </row>
    <row r="364" spans="1:2" x14ac:dyDescent="0.3">
      <c r="A364" s="1">
        <v>363</v>
      </c>
      <c r="B364" t="s">
        <v>379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FA36FB-EAD0-4067-9415-EBD432462A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PCDWBA_6_1</vt:lpstr>
      <vt:lpstr>PCDWBA_7_2</vt:lpstr>
      <vt:lpstr>SCCDGC_6_1</vt:lpstr>
      <vt:lpstr>USADVB_6_2</vt:lpstr>
      <vt:lpstr>Colleges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Timberlake</dc:creator>
  <cp:lastModifiedBy>Brian Timberlake</cp:lastModifiedBy>
  <dcterms:created xsi:type="dcterms:W3CDTF">2024-03-28T23:19:39Z</dcterms:created>
  <dcterms:modified xsi:type="dcterms:W3CDTF">2024-04-09T04:09:00Z</dcterms:modified>
</cp:coreProperties>
</file>